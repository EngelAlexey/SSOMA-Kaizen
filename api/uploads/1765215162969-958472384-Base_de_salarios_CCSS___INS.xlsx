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voltacr.sharepoint.com/ADMIN/ADMIN VARIOS/VOLTAIRE/INS - CCSS/REPORTES MENSUALES/2025/11.2025/"/>
    </mc:Choice>
  </mc:AlternateContent>
  <xr:revisionPtr revIDLastSave="1" documentId="14_{55CBD58A-9BD8-4182-BF11-AF19A30B9480}" xr6:coauthVersionLast="47" xr6:coauthVersionMax="47" xr10:uidLastSave="{015A8645-78E4-40CC-ACCF-534D8010F5A2}"/>
  <bookViews>
    <workbookView xWindow="12" yWindow="12" windowWidth="23016" windowHeight="12216" activeTab="1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Hoja1!$A$1:$F$237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" i="3" l="1"/>
  <c r="N15" i="3"/>
  <c r="N16" i="3"/>
  <c r="N17" i="3"/>
  <c r="N18" i="3"/>
  <c r="N13" i="3"/>
  <c r="D237" i="1" l="1"/>
  <c r="C126" i="2"/>
  <c r="D126" i="2"/>
  <c r="E126" i="2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77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24" i="1" l="1"/>
  <c r="D90" i="1" l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85" i="1" l="1"/>
  <c r="D86" i="1"/>
  <c r="D87" i="1"/>
  <c r="D88" i="1"/>
  <c r="D89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56" i="1"/>
</calcChain>
</file>

<file path=xl/sharedStrings.xml><?xml version="1.0" encoding="utf-8"?>
<sst xmlns="http://schemas.openxmlformats.org/spreadsheetml/2006/main" count="1615" uniqueCount="624">
  <si>
    <t>ID</t>
  </si>
  <si>
    <t>Nombre</t>
  </si>
  <si>
    <t>119050365</t>
  </si>
  <si>
    <t>AGÜERO VARGAS LEONARDO ENRIQUE</t>
  </si>
  <si>
    <t>603270355</t>
  </si>
  <si>
    <t>ARAYA RIVAS PRISCILLA</t>
  </si>
  <si>
    <t>119280025</t>
  </si>
  <si>
    <t>AYALA GUTIERREZ KEYTE MICHELL</t>
  </si>
  <si>
    <t>402550150</t>
  </si>
  <si>
    <t>BARQUERO MIRANDA RODNEY SEBASTIAN</t>
  </si>
  <si>
    <t>900980939</t>
  </si>
  <si>
    <t>CASTILLO RODRIGUEZ WILSON</t>
  </si>
  <si>
    <t>111410316</t>
  </si>
  <si>
    <t>CHAVES CHAVES STANLEY JOSE</t>
  </si>
  <si>
    <t>155823862020</t>
  </si>
  <si>
    <t>DIAZ MORA YELICSA CRISTINA</t>
  </si>
  <si>
    <t>155812208711</t>
  </si>
  <si>
    <t>DOMINGUEZ MOLINA BISMARK</t>
  </si>
  <si>
    <t>113720025</t>
  </si>
  <si>
    <t>GUEVARA SEGURA MELISSA DE LOS ANGELES</t>
  </si>
  <si>
    <t>155808857412</t>
  </si>
  <si>
    <t>GUTIERREZ ROMERO PEDRO ANTONIO</t>
  </si>
  <si>
    <t>119560741</t>
  </si>
  <si>
    <t>MAROTO NUÑEZ RUTH FABIOLA</t>
  </si>
  <si>
    <t>155811414402</t>
  </si>
  <si>
    <t>MEJIA SOLANO JUAN CARLOS</t>
  </si>
  <si>
    <t>118390380</t>
  </si>
  <si>
    <t>MESEN VINDAS RAYNER DAVID</t>
  </si>
  <si>
    <t>402100360</t>
  </si>
  <si>
    <t>MIRANDA SEGURA LEONARDO</t>
  </si>
  <si>
    <t>109918390</t>
  </si>
  <si>
    <t>PIZARRO CASTRO WILBERTH ALEXANDER</t>
  </si>
  <si>
    <t>503830080</t>
  </si>
  <si>
    <t>PIZARRO GUTIERREZ KARLA MARIA</t>
  </si>
  <si>
    <t>603860786</t>
  </si>
  <si>
    <t>SANCHEZ LORIA HUGO</t>
  </si>
  <si>
    <t>118850480</t>
  </si>
  <si>
    <t>SANDI RIVERA NATALIA PAULETH</t>
  </si>
  <si>
    <t>107820208</t>
  </si>
  <si>
    <t>SEGURA VINDAS WILLIAM ALBERTO</t>
  </si>
  <si>
    <t>114960883</t>
  </si>
  <si>
    <t>SIBAJA PEREZ ANA VICTORIA</t>
  </si>
  <si>
    <t>117580328</t>
  </si>
  <si>
    <t>SIBAJA VARGAS VALERI DAYAN</t>
  </si>
  <si>
    <t>155831383030</t>
  </si>
  <si>
    <t>SOMARRIBA RIVAS RENE ALBERTO</t>
  </si>
  <si>
    <t>155805626315</t>
  </si>
  <si>
    <t>TELLEZ BLANCO PEDRO EMILIO</t>
  </si>
  <si>
    <t>206620913</t>
  </si>
  <si>
    <t>UMAÑA TRAÑA ERLI JOSE</t>
  </si>
  <si>
    <t>504490084</t>
  </si>
  <si>
    <t>VASQUEZ ARAYA NICOLE PAOLA</t>
  </si>
  <si>
    <t>117050881</t>
  </si>
  <si>
    <t>VILLALOBOS ACUÑA JOSE MANUEL</t>
  </si>
  <si>
    <t>155801169221</t>
  </si>
  <si>
    <t>ZELEDON JARQUIN EDWIN ISAAC</t>
  </si>
  <si>
    <t>155810584606</t>
  </si>
  <si>
    <t>ZUÑIGA CENTENO PEDRO JOAQUIN</t>
  </si>
  <si>
    <t>Días</t>
  </si>
  <si>
    <t>Horas</t>
  </si>
  <si>
    <t xml:space="preserve">PL </t>
  </si>
  <si>
    <t>II</t>
  </si>
  <si>
    <t>Bruto</t>
  </si>
  <si>
    <t>QUESADA CORDERO PARRIS JAVIER</t>
  </si>
  <si>
    <t>113450466</t>
  </si>
  <si>
    <t>I</t>
  </si>
  <si>
    <t>AGUILAR OROZCO ROBERTO CARLOS</t>
  </si>
  <si>
    <t>155825939916</t>
  </si>
  <si>
    <t>BARRANTES SANCHEZ EDUARDO ANTONIO</t>
  </si>
  <si>
    <t>CHACON ACUÑA ELIECER ANTONIO</t>
  </si>
  <si>
    <t>155802890802</t>
  </si>
  <si>
    <t>HERNANDEZ HERNANDEZ JOSE ALBERTO</t>
  </si>
  <si>
    <t>114220322</t>
  </si>
  <si>
    <t>REYES ESQUIVEL GERALD ALEXANDER</t>
  </si>
  <si>
    <t>155852120216</t>
  </si>
  <si>
    <t>SANCHEZ OBANDO ARNOLD JOSEPH</t>
  </si>
  <si>
    <t>113600392</t>
  </si>
  <si>
    <t>SELVA CAMPOS NORLAN ANTONIO</t>
  </si>
  <si>
    <t>155828159622</t>
  </si>
  <si>
    <t>URBINA MARIN PERCY</t>
  </si>
  <si>
    <t>111460970</t>
  </si>
  <si>
    <t>ALFARO FUENTES ANDY FABRICIO</t>
  </si>
  <si>
    <t>118860849</t>
  </si>
  <si>
    <t>BARAHONA RAMIREZ RODRIGO JOSE</t>
  </si>
  <si>
    <t>155801595501</t>
  </si>
  <si>
    <t>BLANCO RAMIREZ ADONAY JOSUE</t>
  </si>
  <si>
    <t>115960821</t>
  </si>
  <si>
    <t>CAMPO SANCHO JOSE ALONSO</t>
  </si>
  <si>
    <t>112780456</t>
  </si>
  <si>
    <t>CASTELLON VALLE MILTON JOSE</t>
  </si>
  <si>
    <t>801110094</t>
  </si>
  <si>
    <t>FLORES VALLE JOSE JAVIER</t>
  </si>
  <si>
    <t>155853322303</t>
  </si>
  <si>
    <t>GOMEZ JAIME BRYAN DAVID</t>
  </si>
  <si>
    <t>703240261</t>
  </si>
  <si>
    <t>HERNANDEZ SARAVIA FRANCISCO GUILLERMO</t>
  </si>
  <si>
    <t>155849028612</t>
  </si>
  <si>
    <t>HERNANDEZ SARAVIA JUAN JOSE</t>
  </si>
  <si>
    <t>155852315516</t>
  </si>
  <si>
    <t>JIMENEZ SILVA HAROLD RENE</t>
  </si>
  <si>
    <t>155823969709</t>
  </si>
  <si>
    <t>LOPEZ ESPINOZA JOSÉ ELISEO</t>
  </si>
  <si>
    <t>155815303004</t>
  </si>
  <si>
    <t>LOPEZ MONTIEL CHRISTHOFER ALEXANDER</t>
  </si>
  <si>
    <t>116370204</t>
  </si>
  <si>
    <t>MAYORGA MARTINEZ AARON DE JESUS</t>
  </si>
  <si>
    <t>155827232401</t>
  </si>
  <si>
    <t>116720433</t>
  </si>
  <si>
    <t>OBANDO ARCE JOSE ARIEL</t>
  </si>
  <si>
    <t>115940083</t>
  </si>
  <si>
    <t>ROSALES SALGUERO WILBERTH JOSE</t>
  </si>
  <si>
    <t>503350240</t>
  </si>
  <si>
    <t>SANTANA MORALES ANDRES HUMBERTO</t>
  </si>
  <si>
    <t>106070747</t>
  </si>
  <si>
    <t>SELVA CAMPOS HOLBIN ALBERTO</t>
  </si>
  <si>
    <t>155834721111</t>
  </si>
  <si>
    <t>SOLANO RODRIGUEZ ANDRES ENRIQUE</t>
  </si>
  <si>
    <t>116010713</t>
  </si>
  <si>
    <t>VIDEA OVIEDO NOSLAN DIEGO</t>
  </si>
  <si>
    <t>155838070829</t>
  </si>
  <si>
    <t>VILLEGAS ALVAREZ MARVIN</t>
  </si>
  <si>
    <t>155801161534</t>
  </si>
  <si>
    <t>ZAMORA LOPEZ JOSE ENMANUEL</t>
  </si>
  <si>
    <t>155830725325</t>
  </si>
  <si>
    <t>HERRERA REYES STEVEN</t>
  </si>
  <si>
    <t>117540332</t>
  </si>
  <si>
    <t>LOPEZ MENDOZA JASON ISMAEL</t>
  </si>
  <si>
    <t>118050408</t>
  </si>
  <si>
    <t>MEDINA GAITAN FRANCISCO JAVIER</t>
  </si>
  <si>
    <t>800890688</t>
  </si>
  <si>
    <t>MERCADO NICARAGUA EDGARD ALBERTO</t>
  </si>
  <si>
    <t>155822458706</t>
  </si>
  <si>
    <t>AGUIRRE ZAPATA SANTOS DOMINGO</t>
  </si>
  <si>
    <t>MAYOREQUIN PEÑA EDGAR ADOLFO</t>
  </si>
  <si>
    <t>RUIZ MOREIRA DANIEL DAVID</t>
  </si>
  <si>
    <t>155813199412</t>
  </si>
  <si>
    <t>155810451233</t>
  </si>
  <si>
    <t>110880987</t>
  </si>
  <si>
    <t>ABARCA GUTIERREZ CARLOS ARNOLDO</t>
  </si>
  <si>
    <t>AGUIRRE GADEA ROLANDO DONALD</t>
  </si>
  <si>
    <t>ALEMAN CUBAS ALEXANDER DAVID</t>
  </si>
  <si>
    <t>ALEMAN LOPEZ RUDDY JOEL</t>
  </si>
  <si>
    <t>ARAICA MARTINEZ CARLOS MEDARDO</t>
  </si>
  <si>
    <t>AVELAREZ CASCO OSCAR ENRIQUE</t>
  </si>
  <si>
    <t>BARRIOS CRUZ JAIRO JOSE</t>
  </si>
  <si>
    <t>BONILLA GUTIERREZ ERWIN ALI</t>
  </si>
  <si>
    <t>BORDA ACOSTA DUILIO JOSUE</t>
  </si>
  <si>
    <t>BRICEÑO OBANDO JUAN ANTONIO</t>
  </si>
  <si>
    <t>BUSTOS NAVARRO GEOVANNY DANIEL</t>
  </si>
  <si>
    <t>CANALES CASCANTE JORGE ARTURO</t>
  </si>
  <si>
    <t>CANTILLANO LOPEZ JUAN FRANCISCO</t>
  </si>
  <si>
    <t>CARDENAS MALTES DAVID ALBERTO</t>
  </si>
  <si>
    <t>CERDA CHAVEZ ROBERTO ANTONIO</t>
  </si>
  <si>
    <t>CUBAS CRUZ WILFREDO DE LA CRUZ</t>
  </si>
  <si>
    <t>DIAZ JAIME DYLAN JOSE</t>
  </si>
  <si>
    <t>DURON MARTINEZ JULIO CESAR</t>
  </si>
  <si>
    <t>ENRIQUEZ NOINDICAOTRO ANDY JOHNOSON</t>
  </si>
  <si>
    <t>ESPINOZA SANCHEZ QUIR JACINTO</t>
  </si>
  <si>
    <t>FERNANDEZ GUZMAN JEFFERSON ALEXANDER</t>
  </si>
  <si>
    <t>GADEA AGUILAR JAIRO JOSÉ</t>
  </si>
  <si>
    <t>GARCIA RIVERA WALTER MARTIN</t>
  </si>
  <si>
    <t>GONZALEZ LOPEZ JAVIER ENRIQUE</t>
  </si>
  <si>
    <t>GONZALEZ OPORTA MOISES</t>
  </si>
  <si>
    <t>GUIDO DURON BAYARDO RAMON</t>
  </si>
  <si>
    <t>GUTIERREZ HERNANDEZ JULIO CESAR</t>
  </si>
  <si>
    <t>GUTIERREZ ROSALES JOSE CARLOS</t>
  </si>
  <si>
    <t>GUZMAN HERNANDEZ JORDAN JESUS</t>
  </si>
  <si>
    <t>LOAISIGA LOPEZ WILFREDO ENMANUEL</t>
  </si>
  <si>
    <t>LOPEZ BRICEÑO JAMILTON RAMON</t>
  </si>
  <si>
    <t>MARTINEZ GARCIA MAYLOR JOSE</t>
  </si>
  <si>
    <t>MEDINA CENTENO NESTOR JAVIER</t>
  </si>
  <si>
    <t>MENDEZ RUIZ JUAN BOSCO</t>
  </si>
  <si>
    <t>MORALES PRADO LUIS MIGUEL</t>
  </si>
  <si>
    <t>OJEDA REYES BRUNO ANTONIO</t>
  </si>
  <si>
    <t>OJEDA REYES SANTOS CONCEPCIÓN</t>
  </si>
  <si>
    <t>ORTIZ DUARTE BOANERGES</t>
  </si>
  <si>
    <t>PEREIRA RODRIGUEZ CARLOS JIMMY</t>
  </si>
  <si>
    <t>POVEDA FLORES ISRAEL TEODORO</t>
  </si>
  <si>
    <t>REYES BUSTAMANTE DARWIN OSMAR</t>
  </si>
  <si>
    <t>RODRIGUEZ AGUILAR JOSÉ GENARO</t>
  </si>
  <si>
    <t>RODRIGUEZ CAMPO DAVID JAVIER</t>
  </si>
  <si>
    <t>RODRIGUEZ ROSALES WILLIANS ANTONIO</t>
  </si>
  <si>
    <t>RUGAMA OPORTA ROYNER ANDRES</t>
  </si>
  <si>
    <t>RUIZ GUILLEN MARIO ANTONIO</t>
  </si>
  <si>
    <t>SOLIS HERNANDEZ HECTOR ANTONIO</t>
  </si>
  <si>
    <t>URCUYO PICADO VICTOR JOSE</t>
  </si>
  <si>
    <t>VEGA DAVILA ROBERTO JOSE</t>
  </si>
  <si>
    <t>ZAMORA SEQUEIRA NEBIL ANTONIO</t>
  </si>
  <si>
    <t>ZEPEDA GONZALEZ ANGEL JOSE</t>
  </si>
  <si>
    <t>504490261</t>
  </si>
  <si>
    <t>155812966916</t>
  </si>
  <si>
    <t>155828541318</t>
  </si>
  <si>
    <t>155826555500</t>
  </si>
  <si>
    <t>155815008025</t>
  </si>
  <si>
    <t>155820544136</t>
  </si>
  <si>
    <t>503550366</t>
  </si>
  <si>
    <t>155856023500</t>
  </si>
  <si>
    <t>155822850403</t>
  </si>
  <si>
    <t>504080849</t>
  </si>
  <si>
    <t>503910829</t>
  </si>
  <si>
    <t>503680233</t>
  </si>
  <si>
    <t>155812470701</t>
  </si>
  <si>
    <t>110010495</t>
  </si>
  <si>
    <t>155853640719</t>
  </si>
  <si>
    <t>155803335508</t>
  </si>
  <si>
    <t>605020649</t>
  </si>
  <si>
    <t>155818373312</t>
  </si>
  <si>
    <t>155854281421</t>
  </si>
  <si>
    <t>155819086014</t>
  </si>
  <si>
    <t>155855982612</t>
  </si>
  <si>
    <t>801200291</t>
  </si>
  <si>
    <t>155827894924</t>
  </si>
  <si>
    <t>155810428622</t>
  </si>
  <si>
    <t>702330243</t>
  </si>
  <si>
    <t>155822762831</t>
  </si>
  <si>
    <t>155807738720</t>
  </si>
  <si>
    <t>502950617</t>
  </si>
  <si>
    <t>702950800</t>
  </si>
  <si>
    <t>155836083512</t>
  </si>
  <si>
    <t>155841027319</t>
  </si>
  <si>
    <t>155850581615</t>
  </si>
  <si>
    <t>155839104713</t>
  </si>
  <si>
    <t>116320130</t>
  </si>
  <si>
    <t>155856501704</t>
  </si>
  <si>
    <t>155841441808</t>
  </si>
  <si>
    <t>155841441701</t>
  </si>
  <si>
    <t>205990636</t>
  </si>
  <si>
    <t>155811219323</t>
  </si>
  <si>
    <t>155801052809</t>
  </si>
  <si>
    <t>155835541923</t>
  </si>
  <si>
    <t>155854732335</t>
  </si>
  <si>
    <t>155829571328</t>
  </si>
  <si>
    <t>155837587124</t>
  </si>
  <si>
    <t>504410488</t>
  </si>
  <si>
    <t>122200089630</t>
  </si>
  <si>
    <t>155811160108</t>
  </si>
  <si>
    <t>155834364205</t>
  </si>
  <si>
    <t>155856825130</t>
  </si>
  <si>
    <t>155829983217</t>
  </si>
  <si>
    <t>155851577335</t>
  </si>
  <si>
    <t>155803688119</t>
  </si>
  <si>
    <t>ESTRADA SANCHEZ FERNANDO MANUEL</t>
  </si>
  <si>
    <t>155853296428</t>
  </si>
  <si>
    <t>ORTEGA MARTINEZ LAZARO BLADIMIR</t>
  </si>
  <si>
    <t>155809352624</t>
  </si>
  <si>
    <t>TIJERINO MARTINEZ HUGO MARTIN</t>
  </si>
  <si>
    <t>205510920</t>
  </si>
  <si>
    <t>LOPEZ MENDOZA JOSE ALEXANDER</t>
  </si>
  <si>
    <t>155806080607</t>
  </si>
  <si>
    <t>PORTILLO MURILLO FRANCISCO BISMARK</t>
  </si>
  <si>
    <t>115690373</t>
  </si>
  <si>
    <t>VILLEGAS HERNANDEZ KEVIN JOSUE</t>
  </si>
  <si>
    <t>208820308</t>
  </si>
  <si>
    <t>MATUTE LOPEZ HUMBERTO HECTOR</t>
  </si>
  <si>
    <t>155819704000</t>
  </si>
  <si>
    <t>NOVOA CHAVEZ ULICER AMILCAR</t>
  </si>
  <si>
    <t>Etiquetas de fila</t>
  </si>
  <si>
    <t>Total general</t>
  </si>
  <si>
    <t>Suma de Bruto</t>
  </si>
  <si>
    <t>Base de PL</t>
  </si>
  <si>
    <r>
      <rPr>
        <b/>
        <sz val="10"/>
        <rFont val="Arial"/>
        <family val="2"/>
      </rPr>
      <t>IDENTIFICACION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</si>
  <si>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</si>
  <si>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No. BOLETA</t>
    </r>
  </si>
  <si>
    <r>
      <rPr>
        <b/>
        <sz val="10"/>
        <rFont val="Arial"/>
        <family val="2"/>
      </rPr>
      <t>FECHA INICIO</t>
    </r>
  </si>
  <si>
    <r>
      <rPr>
        <b/>
        <sz val="10"/>
        <rFont val="Arial"/>
        <family val="2"/>
      </rPr>
      <t>FECHA FIN</t>
    </r>
  </si>
  <si>
    <r>
      <rPr>
        <b/>
        <sz val="10"/>
        <rFont val="Arial"/>
        <family val="2"/>
      </rPr>
      <t>DIAS INCAP</t>
    </r>
  </si>
  <si>
    <r>
      <rPr>
        <b/>
        <sz val="10"/>
        <rFont val="Arial"/>
        <family val="2"/>
      </rPr>
      <t>PAGO INICIO</t>
    </r>
  </si>
  <si>
    <r>
      <rPr>
        <b/>
        <sz val="10"/>
        <rFont val="Arial"/>
        <family val="2"/>
      </rPr>
      <t>PAGO FIN</t>
    </r>
  </si>
  <si>
    <t>7-18221820</t>
  </si>
  <si>
    <t>AARON ROSTRAN SALINAS</t>
  </si>
  <si>
    <t>3</t>
  </si>
  <si>
    <t>A00210125033606</t>
  </si>
  <si>
    <t>30/10/2025</t>
  </si>
  <si>
    <t>28/11/2025</t>
  </si>
  <si>
    <t>30</t>
  </si>
  <si>
    <t>06/11/2025</t>
  </si>
  <si>
    <t>07/11/2025</t>
  </si>
  <si>
    <t>15/11/2025</t>
  </si>
  <si>
    <t>21/11/2025</t>
  </si>
  <si>
    <t>2</t>
  </si>
  <si>
    <t>0-113720025</t>
  </si>
  <si>
    <t>MELISSA DE LOS ANGELES GUEVARA SEGURA</t>
  </si>
  <si>
    <t>A23171625000806</t>
  </si>
  <si>
    <t>03/11/2025</t>
  </si>
  <si>
    <t>1</t>
  </si>
  <si>
    <t/>
  </si>
  <si>
    <t>7-1020102866</t>
  </si>
  <si>
    <t>FRANCISCO GUILLERMO HERNANDEZ SARAVIA</t>
  </si>
  <si>
    <t>A00221125042750</t>
  </si>
  <si>
    <t>05/11/2025</t>
  </si>
  <si>
    <t>0-801410324</t>
  </si>
  <si>
    <t>LEONARDO MORALES DOMPE</t>
  </si>
  <si>
    <t>A00231125020577</t>
  </si>
  <si>
    <t>0-503830080</t>
  </si>
  <si>
    <t>KARLA MARIA PIZARRO GUTIERREZ</t>
  </si>
  <si>
    <t>A00256025021561</t>
  </si>
  <si>
    <t>08/11/2025</t>
  </si>
  <si>
    <t>0-113450466</t>
  </si>
  <si>
    <t>PARRIS JAVIER QUESADA CORDERO</t>
  </si>
  <si>
    <t>A00223125012528</t>
  </si>
  <si>
    <t>10/11/2025</t>
  </si>
  <si>
    <t>11/11/2025</t>
  </si>
  <si>
    <t>0-503350240</t>
  </si>
  <si>
    <t>WILBERTH JOSE ROSALES SALGUERO</t>
  </si>
  <si>
    <t>A00221025041649</t>
  </si>
  <si>
    <t>12/11/2025</t>
  </si>
  <si>
    <t>0-801110094</t>
  </si>
  <si>
    <t>MILTON JOSE CASTELLON VALLE</t>
  </si>
  <si>
    <t>A00231125021005</t>
  </si>
  <si>
    <t>13/11/2025</t>
  </si>
  <si>
    <t>A00250425008343</t>
  </si>
  <si>
    <t>14/12/2025</t>
  </si>
  <si>
    <t>16/11/2025</t>
  </si>
  <si>
    <t>02/12/2025</t>
  </si>
  <si>
    <t>A23170625000660</t>
  </si>
  <si>
    <t>24/11/2025</t>
  </si>
  <si>
    <t>26/11/2025</t>
  </si>
  <si>
    <t>0-112780456</t>
  </si>
  <si>
    <t>JOSE ALONSO CAMPOS SANCHO</t>
  </si>
  <si>
    <t>A23391325000679</t>
  </si>
  <si>
    <t>29/11/2025</t>
  </si>
  <si>
    <t xml:space="preserve">Incapacidades </t>
  </si>
  <si>
    <t xml:space="preserve">Total </t>
  </si>
  <si>
    <t>No llegaron a proyecto</t>
  </si>
  <si>
    <t xml:space="preserve">TORREZ GOMEZ MILTON YOEL </t>
  </si>
  <si>
    <t xml:space="preserve">CRUZ RIVAS JOSE RICARDO </t>
  </si>
  <si>
    <t>Nuevos ingresos</t>
  </si>
  <si>
    <t xml:space="preserve">UMAÑA TRAÑA YERLING </t>
  </si>
  <si>
    <t xml:space="preserve">ARAGON MARTINEZ OSCAR FERNANDO </t>
  </si>
  <si>
    <t xml:space="preserve">MARTINEZ DELGADO AXEL JAFET </t>
  </si>
  <si>
    <t xml:space="preserve">CARDENAS ALFARO FREISER ANDRES </t>
  </si>
  <si>
    <t>EXCLUIR 27/NOV</t>
  </si>
  <si>
    <t>EXCLUIR 09/NOV</t>
  </si>
  <si>
    <t>EXCLUIR 13/NOV</t>
  </si>
  <si>
    <t>CARLOS ARNOLDO</t>
  </si>
  <si>
    <t>ABARCA</t>
  </si>
  <si>
    <t>GUTIERREZ</t>
  </si>
  <si>
    <t>LEONARDO ENRIQUE</t>
  </si>
  <si>
    <t>AGÜERO</t>
  </si>
  <si>
    <t>VARGAS</t>
  </si>
  <si>
    <t>ROBERTO CARLOS</t>
  </si>
  <si>
    <t>AGUILAR</t>
  </si>
  <si>
    <t>OROZCO</t>
  </si>
  <si>
    <t>ROLANDO DONALD</t>
  </si>
  <si>
    <t>AGUIRRE</t>
  </si>
  <si>
    <t>GADEA</t>
  </si>
  <si>
    <t>SANTOS DOMINGO</t>
  </si>
  <si>
    <t>ZAPATA</t>
  </si>
  <si>
    <t>ALEXANDER DAVID</t>
  </si>
  <si>
    <t>ALEMAN</t>
  </si>
  <si>
    <t>CUBAS</t>
  </si>
  <si>
    <t>RUDDY JOEL</t>
  </si>
  <si>
    <t>LOPEZ</t>
  </si>
  <si>
    <t>ANDY FABRICIO</t>
  </si>
  <si>
    <t>ALFARO</t>
  </si>
  <si>
    <t>FUENTES</t>
  </si>
  <si>
    <t>CARLOS MEDARDO</t>
  </si>
  <si>
    <t>ARAICA</t>
  </si>
  <si>
    <t>MARTINEZ</t>
  </si>
  <si>
    <t>PRISCILLA</t>
  </si>
  <si>
    <t>ARAYA</t>
  </si>
  <si>
    <t>RIVAS</t>
  </si>
  <si>
    <t>OSCAR ENRIQUE</t>
  </si>
  <si>
    <t>AVELAREZ</t>
  </si>
  <si>
    <t>CASCO</t>
  </si>
  <si>
    <t>KEYTE MICHELL</t>
  </si>
  <si>
    <t>AYALA</t>
  </si>
  <si>
    <t>RODRIGO JOSE</t>
  </si>
  <si>
    <t>BARAHONA</t>
  </si>
  <si>
    <t>RAMIREZ</t>
  </si>
  <si>
    <t>RODNEY SEBASTIAN</t>
  </si>
  <si>
    <t>BARQUERO</t>
  </si>
  <si>
    <t>MIRANDA</t>
  </si>
  <si>
    <t>EDUARDO ANTONIO</t>
  </si>
  <si>
    <t>BARRANTES</t>
  </si>
  <si>
    <t>SANCHEZ</t>
  </si>
  <si>
    <t>JAIRO JOSE</t>
  </si>
  <si>
    <t>BARRIOS</t>
  </si>
  <si>
    <t>CRUZ</t>
  </si>
  <si>
    <t>ADONAY JOSUE</t>
  </si>
  <si>
    <t>BLANCO</t>
  </si>
  <si>
    <t>ERWIN ALI</t>
  </si>
  <si>
    <t>BONILLA</t>
  </si>
  <si>
    <t>DUILIO JOSUE</t>
  </si>
  <si>
    <t>BORDA</t>
  </si>
  <si>
    <t>ACOSTA</t>
  </si>
  <si>
    <t>JUAN ANTONIO</t>
  </si>
  <si>
    <t>BRICEÑO</t>
  </si>
  <si>
    <t>OBANDO</t>
  </si>
  <si>
    <t>GEOVANNY DANIEL</t>
  </si>
  <si>
    <t>BUSTOS</t>
  </si>
  <si>
    <t>NAVARRO</t>
  </si>
  <si>
    <t>JOSE ALONSO</t>
  </si>
  <si>
    <t>CAMPO</t>
  </si>
  <si>
    <t>SANCHO</t>
  </si>
  <si>
    <t>JORGE ARTURO</t>
  </si>
  <si>
    <t>CANALES</t>
  </si>
  <si>
    <t>CASCANTE</t>
  </si>
  <si>
    <t>JUAN FRANCISCO</t>
  </si>
  <si>
    <t>CANTILLANO</t>
  </si>
  <si>
    <t>DAVID ALBERTO</t>
  </si>
  <si>
    <t>CARDENAS</t>
  </si>
  <si>
    <t>MALTES</t>
  </si>
  <si>
    <t>MILTON JOSE</t>
  </si>
  <si>
    <t>CASTELLON</t>
  </si>
  <si>
    <t>VALLE</t>
  </si>
  <si>
    <t>WILSON</t>
  </si>
  <si>
    <t>CASTILLO</t>
  </si>
  <si>
    <t>RODRIGUEZ</t>
  </si>
  <si>
    <t>ROBERTO ANTONIO</t>
  </si>
  <si>
    <t>CERDA</t>
  </si>
  <si>
    <t>CHAVEZ</t>
  </si>
  <si>
    <t>ELIECER ANTONIO</t>
  </si>
  <si>
    <t>CHACON</t>
  </si>
  <si>
    <t>ACUÑA</t>
  </si>
  <si>
    <t>STANLEY JOSE</t>
  </si>
  <si>
    <t>CHAVES</t>
  </si>
  <si>
    <t>JOSE RICARDO</t>
  </si>
  <si>
    <t>WILFREDO DE LA CRUZ</t>
  </si>
  <si>
    <t>DYLAN JOSE</t>
  </si>
  <si>
    <t>DIAZ</t>
  </si>
  <si>
    <t>JAIME</t>
  </si>
  <si>
    <t>YELICSA CRISTINA</t>
  </si>
  <si>
    <t>MORA</t>
  </si>
  <si>
    <t>BISMARK</t>
  </si>
  <si>
    <t>DOMINGUEZ</t>
  </si>
  <si>
    <t>MOLINA</t>
  </si>
  <si>
    <t>JULIO CESAR</t>
  </si>
  <si>
    <t>DURON</t>
  </si>
  <si>
    <t>ANDY JOHNOSON</t>
  </si>
  <si>
    <t>ENRIQUEZ</t>
  </si>
  <si>
    <t>NOINDICAOTRO</t>
  </si>
  <si>
    <t>QUIR JACINTO</t>
  </si>
  <si>
    <t>ESPINOZA</t>
  </si>
  <si>
    <t>FERNANDO MANUEL</t>
  </si>
  <si>
    <t>ESTRADA</t>
  </si>
  <si>
    <t>JEFFERSON ALEXANDER</t>
  </si>
  <si>
    <t>FERNANDEZ</t>
  </si>
  <si>
    <t>GUZMAN</t>
  </si>
  <si>
    <t>JOSE JAVIER</t>
  </si>
  <si>
    <t>FLORES</t>
  </si>
  <si>
    <t>JAIRO JOSÉ</t>
  </si>
  <si>
    <t>WALTER MARTIN</t>
  </si>
  <si>
    <t>GARCIA</t>
  </si>
  <si>
    <t>RIVERA</t>
  </si>
  <si>
    <t>BRYAN DAVID</t>
  </si>
  <si>
    <t>GOMEZ</t>
  </si>
  <si>
    <t>JAVIER ENRIQUE</t>
  </si>
  <si>
    <t>GONZALEZ</t>
  </si>
  <si>
    <t>MOISES</t>
  </si>
  <si>
    <t>OPORTA</t>
  </si>
  <si>
    <t>MELISSA DE LOS ANGELES</t>
  </si>
  <si>
    <t>GUEVARA</t>
  </si>
  <si>
    <t>SEGURA</t>
  </si>
  <si>
    <t>BAYARDO RAMON</t>
  </si>
  <si>
    <t>GUIDO</t>
  </si>
  <si>
    <t>HERNANDEZ</t>
  </si>
  <si>
    <t>PEDRO ANTONIO</t>
  </si>
  <si>
    <t>ROMERO</t>
  </si>
  <si>
    <t>JOSE CARLOS</t>
  </si>
  <si>
    <t>ROSALES</t>
  </si>
  <si>
    <t>JORDAN JESUS</t>
  </si>
  <si>
    <t>JOSE ALBERTO</t>
  </si>
  <si>
    <t>FRANCISCO GUILLERMO</t>
  </si>
  <si>
    <t>SARAVIA</t>
  </si>
  <si>
    <t>JUAN JOSE</t>
  </si>
  <si>
    <t>STEVEN</t>
  </si>
  <si>
    <t>HERRERA</t>
  </si>
  <si>
    <t>REYES</t>
  </si>
  <si>
    <t>HAROLD RENE</t>
  </si>
  <si>
    <t>JIMENEZ</t>
  </si>
  <si>
    <t>SILVA</t>
  </si>
  <si>
    <t>WILFREDO ENMANUEL</t>
  </si>
  <si>
    <t>LOAISIGA</t>
  </si>
  <si>
    <t>JAMILTON RAMON</t>
  </si>
  <si>
    <t>JOSÉ ELISEO</t>
  </si>
  <si>
    <t>JASON ISMAEL</t>
  </si>
  <si>
    <t>MENDOZA</t>
  </si>
  <si>
    <t>JOSE ALEXANDER</t>
  </si>
  <si>
    <t>CHRISTHOFER ALEXANDER</t>
  </si>
  <si>
    <t>MONTIEL</t>
  </si>
  <si>
    <t>RUTH FABIOLA</t>
  </si>
  <si>
    <t>MAROTO</t>
  </si>
  <si>
    <t>NUÑEZ</t>
  </si>
  <si>
    <t>MAYLOR JOSE</t>
  </si>
  <si>
    <t>HUMBERTO HECTOR</t>
  </si>
  <si>
    <t>MATUTE</t>
  </si>
  <si>
    <t>AARON DE JESUS</t>
  </si>
  <si>
    <t>MAYORGA</t>
  </si>
  <si>
    <t>EDGAR ADOLFO</t>
  </si>
  <si>
    <t>MAYORQUIN</t>
  </si>
  <si>
    <t>PEÑA</t>
  </si>
  <si>
    <t>NESTOR JAVIER</t>
  </si>
  <si>
    <t>MEDINA</t>
  </si>
  <si>
    <t>CENTENO</t>
  </si>
  <si>
    <t>FRANCISCO JAVIER</t>
  </si>
  <si>
    <t>GAITAN</t>
  </si>
  <si>
    <t>JUAN CARLOS</t>
  </si>
  <si>
    <t>MEJIA</t>
  </si>
  <si>
    <t>SOLANO</t>
  </si>
  <si>
    <t>JUAN BOSCO</t>
  </si>
  <si>
    <t>MENDEZ</t>
  </si>
  <si>
    <t>RUIZ</t>
  </si>
  <si>
    <t>EDGARD ALBERTO</t>
  </si>
  <si>
    <t>MERCADO</t>
  </si>
  <si>
    <t>NICARAGUA</t>
  </si>
  <si>
    <t>RAYNER DAVID</t>
  </si>
  <si>
    <t>MESEN</t>
  </si>
  <si>
    <t>VINDAS</t>
  </si>
  <si>
    <t>LEONARDO</t>
  </si>
  <si>
    <t>LUIS MIGUEL</t>
  </si>
  <si>
    <t>MORALES</t>
  </si>
  <si>
    <t>PRADO</t>
  </si>
  <si>
    <t>ULICER AMILCAR</t>
  </si>
  <si>
    <t>NOVOA</t>
  </si>
  <si>
    <t>JOSE ARIEL</t>
  </si>
  <si>
    <t>ARCE</t>
  </si>
  <si>
    <t>BRUNO ANTONIO</t>
  </si>
  <si>
    <t>OJEDA</t>
  </si>
  <si>
    <t>SANTOS CONCEPCIÓN</t>
  </si>
  <si>
    <t>LAZARO BLADIMIR</t>
  </si>
  <si>
    <t>ORTEGA</t>
  </si>
  <si>
    <t>BOANERGES</t>
  </si>
  <si>
    <t>ORTIZ</t>
  </si>
  <si>
    <t>DUARTE</t>
  </si>
  <si>
    <t>CARLOS JIMMY</t>
  </si>
  <si>
    <t>PEREIRA</t>
  </si>
  <si>
    <t>WILBERTH ALEXANDER</t>
  </si>
  <si>
    <t>PIZARRO</t>
  </si>
  <si>
    <t>CASTRO</t>
  </si>
  <si>
    <t>KARLA MARIA</t>
  </si>
  <si>
    <t>FRANCISCO BISMARK</t>
  </si>
  <si>
    <t>PORTILLO</t>
  </si>
  <si>
    <t>MURILLO</t>
  </si>
  <si>
    <t>ISRAEL TEODORO</t>
  </si>
  <si>
    <t>POVEDA</t>
  </si>
  <si>
    <t>PARRIS JAVIER</t>
  </si>
  <si>
    <t>QUESADA</t>
  </si>
  <si>
    <t>CORDERO</t>
  </si>
  <si>
    <t>DARWIN OSMAR</t>
  </si>
  <si>
    <t>BUSTAMANTE</t>
  </si>
  <si>
    <t>GERALD ALEXANDER</t>
  </si>
  <si>
    <t>ESQUIVEL</t>
  </si>
  <si>
    <t>JOSÉ GENARO</t>
  </si>
  <si>
    <t>DAVID JAVIER</t>
  </si>
  <si>
    <t>WILLIANS ANTONIO</t>
  </si>
  <si>
    <t>WILBERTH JOSE</t>
  </si>
  <si>
    <t>SALGUERO</t>
  </si>
  <si>
    <t>ROYNER ANDRES</t>
  </si>
  <si>
    <t>RUGAMA</t>
  </si>
  <si>
    <t>MARIO ANTONIO</t>
  </si>
  <si>
    <t>GUILLEN</t>
  </si>
  <si>
    <t>DANIEL DAVID</t>
  </si>
  <si>
    <t>MOREIRA</t>
  </si>
  <si>
    <t>HUGO</t>
  </si>
  <si>
    <t>LORIA</t>
  </si>
  <si>
    <t>ARNOLD JOSEPH</t>
  </si>
  <si>
    <t>NATALIA PAULETH</t>
  </si>
  <si>
    <t>SANDI</t>
  </si>
  <si>
    <t>ANDRES HUMBERTO</t>
  </si>
  <si>
    <t>SANTANA</t>
  </si>
  <si>
    <t>WILLIAM ALBERTO</t>
  </si>
  <si>
    <t>HOLBIN ALBERTO</t>
  </si>
  <si>
    <t>SELVA</t>
  </si>
  <si>
    <t>CAMPOS</t>
  </si>
  <si>
    <t>NORLAN ANTONIO</t>
  </si>
  <si>
    <t>ANA VICTORIA</t>
  </si>
  <si>
    <t>SIBAJA</t>
  </si>
  <si>
    <t>PEREZ</t>
  </si>
  <si>
    <t>VALERI DAYAN</t>
  </si>
  <si>
    <t>ANDRES ENRIQUE</t>
  </si>
  <si>
    <t>HECTOR ANTONIO</t>
  </si>
  <si>
    <t>SOLIS</t>
  </si>
  <si>
    <t>RENE ALBERTO</t>
  </si>
  <si>
    <t>SOMARRIBA</t>
  </si>
  <si>
    <t>PEDRO EMILIO</t>
  </si>
  <si>
    <t>TELLEZ</t>
  </si>
  <si>
    <t>HUGO MARTIN</t>
  </si>
  <si>
    <t>TIJERINO</t>
  </si>
  <si>
    <t>MILTON YOEL</t>
  </si>
  <si>
    <t>TORREZ</t>
  </si>
  <si>
    <t>ERLI JOSE</t>
  </si>
  <si>
    <t>UMAÑA</t>
  </si>
  <si>
    <t>TRAÑA</t>
  </si>
  <si>
    <t>PERCY</t>
  </si>
  <si>
    <t>URBINA</t>
  </si>
  <si>
    <t>MARIN</t>
  </si>
  <si>
    <t>VICTOR JOSE</t>
  </si>
  <si>
    <t>URCUYO</t>
  </si>
  <si>
    <t>PICADO</t>
  </si>
  <si>
    <t>NICOLE PAOLA</t>
  </si>
  <si>
    <t>VASQUEZ</t>
  </si>
  <si>
    <t>ROBERTO JOSE</t>
  </si>
  <si>
    <t>VEGA</t>
  </si>
  <si>
    <t>DAVILA</t>
  </si>
  <si>
    <t>NOSLAN DIEGO</t>
  </si>
  <si>
    <t>VIDEA</t>
  </si>
  <si>
    <t>OVIEDO</t>
  </si>
  <si>
    <t>JOSE MANUEL</t>
  </si>
  <si>
    <t>VILLALOBOS</t>
  </si>
  <si>
    <t>MARVIN</t>
  </si>
  <si>
    <t>VILLEGAS</t>
  </si>
  <si>
    <t>ALVAREZ</t>
  </si>
  <si>
    <t>KEVIN JOSUE</t>
  </si>
  <si>
    <t>JOSE ENMANUEL</t>
  </si>
  <si>
    <t>ZAMORA</t>
  </si>
  <si>
    <t>NEBIL ANTONIO</t>
  </si>
  <si>
    <t>SEQUEIRA</t>
  </si>
  <si>
    <t>EDWIN ISAAC</t>
  </si>
  <si>
    <t>ZELEDON</t>
  </si>
  <si>
    <t>JARQUIN</t>
  </si>
  <si>
    <t>ANGEL JOSE</t>
  </si>
  <si>
    <t>ZEPEDA</t>
  </si>
  <si>
    <t>PEDRO JOAQUIN</t>
  </si>
  <si>
    <t>ZUÑIGA</t>
  </si>
  <si>
    <t xml:space="preserve">incapacidad </t>
  </si>
  <si>
    <t>UNIFICADA MANUALMENTE</t>
  </si>
  <si>
    <t>PL INS KAIZEN</t>
  </si>
  <si>
    <t xml:space="preserve">EXCLUCION </t>
  </si>
  <si>
    <t>EXCLUIR 15/NOV</t>
  </si>
  <si>
    <t xml:space="preserve">Incaacidad </t>
  </si>
  <si>
    <t>BONILLA MOLINA FRANCISCO JOSE</t>
  </si>
  <si>
    <t>CRUZ RIVAS JOSE RICARDO</t>
  </si>
  <si>
    <t>CABEZAS ALVAREZ ROBERTO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</si>
</sst>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₡&quot;* #,##0.00_-;\-&quot;₡&quot;* #,##0.00_-;_-&quot;₡&quot;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ptos Narrow"/>
    </font>
    <font>
      <b/>
      <sz val="11"/>
      <color theme="4" tint="-0.499984740745262"/>
      <name val="Calibri"/>
      <family val="2"/>
      <scheme val="minor"/>
    </font>
    <font>
      <sz val="11"/>
      <color theme="1"/>
      <name val="Aptos Narrow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2" fontId="3" fillId="2" borderId="1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44" fontId="3" fillId="2" borderId="1" xfId="1" applyFont="1" applyFill="1" applyBorder="1" applyAlignment="1">
      <alignment horizontal="center" vertical="center"/>
    </xf>
    <xf numFmtId="44" fontId="2" fillId="0" borderId="2" xfId="1" applyFont="1" applyBorder="1" applyAlignment="1">
      <alignment horizontal="right" vertical="center"/>
    </xf>
    <xf numFmtId="44" fontId="0" fillId="0" borderId="0" xfId="1" applyFont="1"/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2" fontId="5" fillId="0" borderId="0" xfId="0" applyNumberFormat="1" applyFont="1"/>
    <xf numFmtId="2" fontId="6" fillId="0" borderId="0" xfId="0" applyNumberFormat="1" applyFont="1"/>
    <xf numFmtId="1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2" fontId="0" fillId="0" borderId="3" xfId="0" applyNumberFormat="1" applyBorder="1" applyAlignment="1">
      <alignment horizontal="right" vertical="center"/>
    </xf>
    <xf numFmtId="0" fontId="0" fillId="0" borderId="0" xfId="0" pivotButton="1"/>
    <xf numFmtId="0" fontId="0" fillId="0" borderId="0" xfId="0" applyNumberFormat="1"/>
    <xf numFmtId="0" fontId="7" fillId="7" borderId="4" xfId="0" applyFont="1" applyFill="1" applyBorder="1" applyAlignment="1">
      <alignment horizontal="center" vertical="center"/>
    </xf>
    <xf numFmtId="44" fontId="7" fillId="7" borderId="4" xfId="1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44" fontId="0" fillId="4" borderId="0" xfId="1" applyFont="1" applyFill="1"/>
    <xf numFmtId="49" fontId="9" fillId="4" borderId="0" xfId="0" applyNumberFormat="1" applyFont="1" applyFill="1" applyAlignment="1">
      <alignment vertical="center"/>
    </xf>
    <xf numFmtId="0" fontId="0" fillId="5" borderId="0" xfId="0" applyFill="1"/>
    <xf numFmtId="44" fontId="0" fillId="5" borderId="0" xfId="1" applyFont="1" applyFill="1"/>
    <xf numFmtId="49" fontId="9" fillId="5" borderId="0" xfId="0" applyNumberFormat="1" applyFont="1" applyFill="1" applyAlignment="1">
      <alignment vertical="center"/>
    </xf>
    <xf numFmtId="0" fontId="0" fillId="9" borderId="0" xfId="0" applyFill="1"/>
    <xf numFmtId="44" fontId="0" fillId="3" borderId="0" xfId="1" applyFont="1" applyFill="1"/>
    <xf numFmtId="49" fontId="9" fillId="3" borderId="0" xfId="0" applyNumberFormat="1" applyFont="1" applyFill="1" applyAlignment="1">
      <alignment vertical="center"/>
    </xf>
    <xf numFmtId="0" fontId="0" fillId="0" borderId="0" xfId="0" applyFill="1"/>
    <xf numFmtId="44" fontId="0" fillId="0" borderId="0" xfId="1" applyFont="1" applyFill="1"/>
    <xf numFmtId="49" fontId="9" fillId="0" borderId="0" xfId="0" applyNumberFormat="1" applyFont="1" applyFill="1" applyAlignment="1">
      <alignment vertical="center"/>
    </xf>
    <xf numFmtId="49" fontId="9" fillId="6" borderId="4" xfId="0" applyNumberFormat="1" applyFont="1" applyFill="1" applyBorder="1" applyAlignment="1">
      <alignment vertical="center"/>
    </xf>
    <xf numFmtId="49" fontId="9" fillId="3" borderId="4" xfId="0" applyNumberFormat="1" applyFont="1" applyFill="1" applyBorder="1" applyAlignment="1">
      <alignment vertical="center"/>
    </xf>
    <xf numFmtId="44" fontId="0" fillId="6" borderId="10" xfId="1" applyFont="1" applyFill="1" applyBorder="1"/>
    <xf numFmtId="49" fontId="9" fillId="6" borderId="11" xfId="0" applyNumberFormat="1" applyFont="1" applyFill="1" applyBorder="1" applyAlignment="1">
      <alignment vertical="center"/>
    </xf>
    <xf numFmtId="44" fontId="0" fillId="3" borderId="10" xfId="1" applyFont="1" applyFill="1" applyBorder="1"/>
    <xf numFmtId="49" fontId="9" fillId="3" borderId="11" xfId="0" applyNumberFormat="1" applyFont="1" applyFill="1" applyBorder="1" applyAlignment="1">
      <alignment vertical="center"/>
    </xf>
    <xf numFmtId="0" fontId="0" fillId="6" borderId="10" xfId="0" applyFill="1" applyBorder="1"/>
    <xf numFmtId="44" fontId="0" fillId="6" borderId="11" xfId="1" applyFont="1" applyFill="1" applyBorder="1"/>
    <xf numFmtId="0" fontId="0" fillId="3" borderId="10" xfId="0" applyFill="1" applyBorder="1"/>
    <xf numFmtId="44" fontId="0" fillId="3" borderId="11" xfId="1" applyFont="1" applyFill="1" applyBorder="1"/>
    <xf numFmtId="4" fontId="11" fillId="0" borderId="15" xfId="0" applyNumberFormat="1" applyFont="1" applyBorder="1" applyAlignment="1">
      <alignment horizontal="right" vertical="center"/>
    </xf>
    <xf numFmtId="2" fontId="11" fillId="0" borderId="15" xfId="0" applyNumberFormat="1" applyFont="1" applyBorder="1" applyAlignment="1">
      <alignment horizontal="right" vertical="center"/>
    </xf>
    <xf numFmtId="0" fontId="0" fillId="12" borderId="0" xfId="0" applyFill="1"/>
    <xf numFmtId="44" fontId="0" fillId="12" borderId="0" xfId="1" applyFont="1" applyFill="1"/>
    <xf numFmtId="1" fontId="0" fillId="1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4" borderId="16" xfId="0" applyFill="1" applyBorder="1"/>
    <xf numFmtId="44" fontId="0" fillId="4" borderId="17" xfId="1" applyFont="1" applyFill="1" applyBorder="1"/>
    <xf numFmtId="0" fontId="0" fillId="5" borderId="18" xfId="0" applyFill="1" applyBorder="1"/>
    <xf numFmtId="44" fontId="0" fillId="5" borderId="19" xfId="1" applyFont="1" applyFill="1" applyBorder="1"/>
    <xf numFmtId="0" fontId="0" fillId="9" borderId="18" xfId="0" applyFill="1" applyBorder="1"/>
    <xf numFmtId="44" fontId="0" fillId="9" borderId="19" xfId="1" applyFont="1" applyFill="1" applyBorder="1"/>
    <xf numFmtId="0" fontId="0" fillId="4" borderId="18" xfId="0" applyFill="1" applyBorder="1"/>
    <xf numFmtId="44" fontId="0" fillId="4" borderId="19" xfId="1" applyFont="1" applyFill="1" applyBorder="1"/>
    <xf numFmtId="0" fontId="0" fillId="0" borderId="18" xfId="0" applyFill="1" applyBorder="1"/>
    <xf numFmtId="44" fontId="0" fillId="0" borderId="19" xfId="1" applyFont="1" applyFill="1" applyBorder="1"/>
    <xf numFmtId="44" fontId="0" fillId="0" borderId="19" xfId="1" applyFont="1" applyBorder="1"/>
    <xf numFmtId="0" fontId="0" fillId="9" borderId="20" xfId="0" applyFill="1" applyBorder="1"/>
    <xf numFmtId="44" fontId="0" fillId="9" borderId="21" xfId="1" applyFont="1" applyFill="1" applyBorder="1"/>
    <xf numFmtId="44" fontId="0" fillId="4" borderId="16" xfId="1" applyFont="1" applyFill="1" applyBorder="1"/>
    <xf numFmtId="49" fontId="9" fillId="4" borderId="22" xfId="0" applyNumberFormat="1" applyFont="1" applyFill="1" applyBorder="1" applyAlignment="1">
      <alignment vertical="center"/>
    </xf>
    <xf numFmtId="49" fontId="9" fillId="4" borderId="17" xfId="0" applyNumberFormat="1" applyFont="1" applyFill="1" applyBorder="1" applyAlignment="1">
      <alignment vertical="center"/>
    </xf>
    <xf numFmtId="44" fontId="0" fillId="5" borderId="18" xfId="1" applyFont="1" applyFill="1" applyBorder="1"/>
    <xf numFmtId="49" fontId="9" fillId="5" borderId="0" xfId="0" applyNumberFormat="1" applyFont="1" applyFill="1" applyBorder="1" applyAlignment="1">
      <alignment vertical="center"/>
    </xf>
    <xf numFmtId="49" fontId="9" fillId="5" borderId="19" xfId="0" applyNumberFormat="1" applyFont="1" applyFill="1" applyBorder="1" applyAlignment="1">
      <alignment vertical="center"/>
    </xf>
    <xf numFmtId="44" fontId="0" fillId="9" borderId="18" xfId="1" applyFont="1" applyFill="1" applyBorder="1"/>
    <xf numFmtId="49" fontId="9" fillId="9" borderId="0" xfId="0" applyNumberFormat="1" applyFont="1" applyFill="1" applyBorder="1" applyAlignment="1">
      <alignment vertical="center"/>
    </xf>
    <xf numFmtId="49" fontId="9" fillId="9" borderId="19" xfId="0" applyNumberFormat="1" applyFont="1" applyFill="1" applyBorder="1" applyAlignment="1">
      <alignment vertical="center"/>
    </xf>
    <xf numFmtId="44" fontId="0" fillId="4" borderId="18" xfId="1" applyFont="1" applyFill="1" applyBorder="1"/>
    <xf numFmtId="49" fontId="9" fillId="4" borderId="0" xfId="0" applyNumberFormat="1" applyFont="1" applyFill="1" applyBorder="1" applyAlignment="1">
      <alignment vertical="center"/>
    </xf>
    <xf numFmtId="49" fontId="9" fillId="4" borderId="19" xfId="0" applyNumberFormat="1" applyFont="1" applyFill="1" applyBorder="1" applyAlignment="1">
      <alignment vertical="center"/>
    </xf>
    <xf numFmtId="44" fontId="0" fillId="0" borderId="18" xfId="1" applyFont="1" applyFill="1" applyBorder="1"/>
    <xf numFmtId="49" fontId="9" fillId="0" borderId="0" xfId="0" applyNumberFormat="1" applyFont="1" applyFill="1" applyBorder="1" applyAlignment="1">
      <alignment vertical="center"/>
    </xf>
    <xf numFmtId="49" fontId="9" fillId="0" borderId="19" xfId="0" applyNumberFormat="1" applyFont="1" applyFill="1" applyBorder="1" applyAlignment="1">
      <alignment vertical="center"/>
    </xf>
    <xf numFmtId="44" fontId="0" fillId="5" borderId="0" xfId="1" applyFont="1" applyFill="1" applyBorder="1"/>
    <xf numFmtId="44" fontId="0" fillId="9" borderId="0" xfId="1" applyFont="1" applyFill="1" applyBorder="1"/>
    <xf numFmtId="44" fontId="0" fillId="9" borderId="20" xfId="1" applyFont="1" applyFill="1" applyBorder="1"/>
    <xf numFmtId="49" fontId="9" fillId="9" borderId="23" xfId="0" applyNumberFormat="1" applyFont="1" applyFill="1" applyBorder="1" applyAlignment="1">
      <alignment vertical="center"/>
    </xf>
    <xf numFmtId="49" fontId="9" fillId="9" borderId="21" xfId="0" applyNumberFormat="1" applyFont="1" applyFill="1" applyBorder="1" applyAlignment="1">
      <alignment vertical="center"/>
    </xf>
    <xf numFmtId="44" fontId="0" fillId="0" borderId="0" xfId="0" applyNumberFormat="1"/>
    <xf numFmtId="0" fontId="0" fillId="10" borderId="12" xfId="0" applyFill="1" applyBorder="1"/>
    <xf numFmtId="44" fontId="0" fillId="10" borderId="14" xfId="1" applyFont="1" applyFill="1" applyBorder="1"/>
    <xf numFmtId="44" fontId="0" fillId="10" borderId="12" xfId="1" applyFont="1" applyFill="1" applyBorder="1"/>
    <xf numFmtId="49" fontId="9" fillId="10" borderId="13" xfId="0" applyNumberFormat="1" applyFont="1" applyFill="1" applyBorder="1" applyAlignment="1">
      <alignment vertical="center"/>
    </xf>
    <xf numFmtId="49" fontId="9" fillId="10" borderId="14" xfId="0" applyNumberFormat="1" applyFont="1" applyFill="1" applyBorder="1" applyAlignment="1">
      <alignment vertical="center"/>
    </xf>
    <xf numFmtId="44" fontId="0" fillId="10" borderId="0" xfId="0" applyNumberFormat="1" applyFill="1"/>
    <xf numFmtId="49" fontId="9" fillId="10" borderId="0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7" fillId="7" borderId="5" xfId="0" applyFont="1" applyFill="1" applyBorder="1" applyAlignment="1">
      <alignment horizontal="right" vertical="center"/>
    </xf>
    <xf numFmtId="0" fontId="7" fillId="7" borderId="6" xfId="0" applyFont="1" applyFill="1" applyBorder="1" applyAlignment="1">
      <alignment horizontal="right" vertical="center"/>
    </xf>
    <xf numFmtId="0" fontId="10" fillId="11" borderId="7" xfId="0" applyFont="1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8" xfId="0" applyFont="1" applyFill="1" applyBorder="1" applyAlignment="1">
      <alignment horizontal="center"/>
    </xf>
    <xf numFmtId="0" fontId="0" fillId="10" borderId="0" xfId="0" applyFill="1"/>
    <xf numFmtId="44" fontId="0" fillId="10" borderId="0" xfId="1" applyFont="1" applyFill="1"/>
    <xf numFmtId="1" fontId="0" fillId="10" borderId="0" xfId="0" applyNumberForma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 VOLTA" refreshedDate="45994.588350347221" createdVersion="7" refreshedVersion="7" minRefreshableVersion="3" recordCount="236" xr:uid="{C4AAAE9A-ABFB-4083-B99B-1354E2A5A3DB}">
  <cacheSource type="worksheet">
    <worksheetSource ref="A1:F237" sheet="Hoja1"/>
  </cacheSource>
  <cacheFields count="6">
    <cacheField name="ID" numFmtId="0">
      <sharedItems/>
    </cacheField>
    <cacheField name="Nombre" numFmtId="0">
      <sharedItems count="124">
        <s v="AGÜERO VARGAS LEONARDO ENRIQUE"/>
        <s v="ARAYA RIVAS PRISCILLA"/>
        <s v="AYALA GUTIERREZ KEYTE MICHELL"/>
        <s v="BARQUERO MIRANDA RODNEY SEBASTIAN"/>
        <s v="CASTILLO RODRIGUEZ WILSON"/>
        <s v="CHAVES CHAVES STANLEY JOSE"/>
        <s v="DIAZ MORA YELICSA CRISTINA"/>
        <s v="DOMINGUEZ MOLINA BISMARK"/>
        <s v="GUEVARA SEGURA MELISSA DE LOS ANGELES"/>
        <s v="GUTIERREZ ROMERO PEDRO ANTONIO"/>
        <s v="MAROTO NUÑEZ RUTH FABIOLA"/>
        <s v="MEJIA SOLANO JUAN CARLOS"/>
        <s v="MESEN VINDAS RAYNER DAVID"/>
        <s v="MIRANDA SEGURA LEONARDO"/>
        <s v="PIZARRO CASTRO WILBERTH ALEXANDER"/>
        <s v="PIZARRO GUTIERREZ KARLA MARIA"/>
        <s v="SANCHEZ LORIA HUGO"/>
        <s v="SANDI RIVERA NATALIA PAULETH"/>
        <s v="SEGURA VINDAS WILLIAM ALBERTO"/>
        <s v="SIBAJA PEREZ ANA VICTORIA"/>
        <s v="SIBAJA VARGAS VALERI DAYAN"/>
        <s v="SOMARRIBA RIVAS RENE ALBERTO"/>
        <s v="TELLEZ BLANCO PEDRO EMILIO"/>
        <s v="UMAÑA TRAÑA ERLI JOSE"/>
        <s v="VASQUEZ ARAYA NICOLE PAOLA"/>
        <s v="VILLALOBOS ACUÑA JOSE MANUEL"/>
        <s v="ZELEDON JARQUIN EDWIN ISAAC"/>
        <s v="ZUÑIGA CENTENO PEDRO JOAQUIN"/>
        <s v="QUESADA CORDERO PARRIS JAVIER"/>
        <s v="AGUILAR OROZCO ROBERTO CARLOS"/>
        <s v="BARRANTES SANCHEZ EDUARDO ANTONIO"/>
        <s v="CHACON ACUÑA ELIECER ANTONIO"/>
        <s v="HERNANDEZ HERNANDEZ JOSE ALBERTO"/>
        <s v="REYES ESQUIVEL GERALD ALEXANDER"/>
        <s v="SANCHEZ OBANDO ARNOLD JOSEPH"/>
        <s v="SELVA CAMPOS NORLAN ANTONIO"/>
        <s v="URBINA MARIN PERCY"/>
        <s v="ALFARO FUENTES ANDY FABRICIO"/>
        <s v="BARAHONA RAMIREZ RODRIGO JOSE"/>
        <s v="BLANCO RAMIREZ ADONAY JOSUE"/>
        <s v="CAMPO SANCHO JOSE ALONSO"/>
        <s v="CASTELLON VALLE MILTON JOSE"/>
        <s v="FLORES VALLE JOSE JAVIER"/>
        <s v="GOMEZ JAIME BRYAN DAVID"/>
        <s v="HERNANDEZ SARAVIA FRANCISCO GUILLERMO"/>
        <s v="HERNANDEZ SARAVIA JUAN JOSE"/>
        <s v="JIMENEZ SILVA HAROLD RENE"/>
        <s v="LOPEZ ESPINOZA JOSÉ ELISEO"/>
        <s v="LOPEZ MONTIEL CHRISTHOFER ALEXANDER"/>
        <s v="MAYORGA MARTINEZ AARON DE JESUS"/>
        <s v="MAYOREQUIN PEÑA EDGAR ADOLFO"/>
        <s v="OBANDO ARCE JOSE ARIEL"/>
        <s v="ROSALES SALGUERO WILBERTH JOSE"/>
        <s v="SANTANA MORALES ANDRES HUMBERTO"/>
        <s v="SELVA CAMPOS HOLBIN ALBERTO"/>
        <s v="SOLANO RODRIGUEZ ANDRES ENRIQUE"/>
        <s v="VIDEA OVIEDO NOSLAN DIEGO"/>
        <s v="VILLEGAS ALVAREZ MARVIN"/>
        <s v="ZAMORA LOPEZ JOSE ENMANUEL"/>
        <s v="HERRERA REYES STEVEN"/>
        <s v="LOPEZ MENDOZA JASON ISMAEL"/>
        <s v="MEDINA GAITAN FRANCISCO JAVIER"/>
        <s v="MERCADO NICARAGUA EDGARD ALBERTO"/>
        <s v="AGUIRRE ZAPATA SANTOS DOMINGO"/>
        <s v="RUIZ MOREIRA DANIEL DAVID"/>
        <s v="ABARCA GUTIERREZ CARLOS ARNOLDO"/>
        <s v="AGUIRRE GADEA ROLANDO DONALD"/>
        <s v="ALEMAN CUBAS ALEXANDER DAVID"/>
        <s v="ALEMAN LOPEZ RUDDY JOEL"/>
        <s v="ARAICA MARTINEZ CARLOS MEDARDO"/>
        <s v="AVELAREZ CASCO OSCAR ENRIQUE"/>
        <s v="BARRIOS CRUZ JAIRO JOSE"/>
        <s v="BONILLA GUTIERREZ ERWIN ALI"/>
        <s v="BORDA ACOSTA DUILIO JOSUE"/>
        <s v="BRICEÑO OBANDO JUAN ANTONIO"/>
        <s v="BUSTOS NAVARRO GEOVANNY DANIEL"/>
        <s v="CANALES CASCANTE JORGE ARTURO"/>
        <s v="CANTILLANO LOPEZ JUAN FRANCISCO"/>
        <s v="CARDENAS MALTES DAVID ALBERTO"/>
        <s v="CERDA CHAVEZ ROBERTO ANTONIO"/>
        <s v="CUBAS CRUZ WILFREDO DE LA CRUZ"/>
        <s v="DIAZ JAIME DYLAN JOSE"/>
        <s v="DURON MARTINEZ JULIO CESAR"/>
        <s v="ENRIQUEZ NOINDICAOTRO ANDY JOHNOSON"/>
        <s v="ESPINOZA SANCHEZ QUIR JACINTO"/>
        <s v="FERNANDEZ GUZMAN JEFFERSON ALEXANDER"/>
        <s v="GADEA AGUILAR JAIRO JOSÉ"/>
        <s v="GARCIA RIVERA WALTER MARTIN"/>
        <s v="GONZALEZ LOPEZ JAVIER ENRIQUE"/>
        <s v="GONZALEZ OPORTA MOISES"/>
        <s v="GUIDO DURON BAYARDO RAMON"/>
        <s v="GUTIERREZ HERNANDEZ JULIO CESAR"/>
        <s v="GUTIERREZ ROSALES JOSE CARLOS"/>
        <s v="GUZMAN HERNANDEZ JORDAN JESUS"/>
        <s v="LOAISIGA LOPEZ WILFREDO ENMANUEL"/>
        <s v="LOPEZ BRICEÑO JAMILTON RAMON"/>
        <s v="MARTINEZ GARCIA MAYLOR JOSE"/>
        <s v="MEDINA CENTENO NESTOR JAVIER"/>
        <s v="MENDEZ RUIZ JUAN BOSCO"/>
        <s v="MORALES PRADO LUIS MIGUEL"/>
        <s v="OJEDA REYES BRUNO ANTONIO"/>
        <s v="OJEDA REYES SANTOS CONCEPCIÓN"/>
        <s v="ORTIZ DUARTE BOANERGES"/>
        <s v="PEREIRA RODRIGUEZ CARLOS JIMMY"/>
        <s v="POVEDA FLORES ISRAEL TEODORO"/>
        <s v="REYES BUSTAMANTE DARWIN OSMAR"/>
        <s v="RODRIGUEZ AGUILAR JOSÉ GENARO"/>
        <s v="RODRIGUEZ CAMPO DAVID JAVIER"/>
        <s v="RODRIGUEZ ROSALES WILLIANS ANTONIO"/>
        <s v="RUGAMA OPORTA ROYNER ANDRES"/>
        <s v="RUIZ GUILLEN MARIO ANTONIO"/>
        <s v="SOLIS HERNANDEZ HECTOR ANTONIO"/>
        <s v="URCUYO PICADO VICTOR JOSE"/>
        <s v="VEGA DAVILA ROBERTO JOSE"/>
        <s v="ZAMORA SEQUEIRA NEBIL ANTONIO"/>
        <s v="ZEPEDA GONZALEZ ANGEL JOSE"/>
        <s v="ESTRADA SANCHEZ FERNANDO MANUEL"/>
        <s v="ORTEGA MARTINEZ LAZARO BLADIMIR"/>
        <s v="TIJERINO MARTINEZ HUGO MARTIN"/>
        <s v="LOPEZ MENDOZA JOSE ALEXANDER"/>
        <s v="PORTILLO MURILLO FRANCISCO BISMARK"/>
        <s v="VILLEGAS HERNANDEZ KEVIN JOSUE"/>
        <s v="MATUTE LOPEZ HUMBERTO HECTOR"/>
        <s v="NOVOA CHAVEZ ULICER AMILCAR"/>
      </sharedItems>
    </cacheField>
    <cacheField name="Bruto" numFmtId="0">
      <sharedItems containsSemiMixedTypes="0" containsString="0" containsNumber="1" minValue="8500" maxValue="872047"/>
    </cacheField>
    <cacheField name="Días" numFmtId="0">
      <sharedItems containsSemiMixedTypes="0" containsString="0" containsNumber="1" minValue="0" maxValue="15.375"/>
    </cacheField>
    <cacheField name="Horas" numFmtId="2">
      <sharedItems containsSemiMixedTypes="0" containsString="0" containsNumber="1" minValue="0" maxValue="123"/>
    </cacheField>
    <cacheField name="PL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s v="119050365"/>
    <x v="0"/>
    <n v="450000"/>
    <n v="15"/>
    <n v="120"/>
    <s v="II"/>
  </r>
  <r>
    <s v="603270355"/>
    <x v="1"/>
    <n v="150000"/>
    <n v="15"/>
    <n v="120"/>
    <s v="II"/>
  </r>
  <r>
    <s v="119280025"/>
    <x v="2"/>
    <n v="255000"/>
    <n v="15"/>
    <n v="120"/>
    <s v="II"/>
  </r>
  <r>
    <s v="402550150"/>
    <x v="3"/>
    <n v="300000"/>
    <n v="15"/>
    <n v="120"/>
    <s v="II"/>
  </r>
  <r>
    <s v="900980939"/>
    <x v="4"/>
    <n v="650000"/>
    <n v="15"/>
    <n v="120"/>
    <s v="II"/>
  </r>
  <r>
    <s v="111410316"/>
    <x v="5"/>
    <n v="250000"/>
    <n v="15"/>
    <n v="120"/>
    <s v="II"/>
  </r>
  <r>
    <s v="155823862020"/>
    <x v="6"/>
    <n v="201802.75"/>
    <n v="15"/>
    <n v="120"/>
    <s v="II"/>
  </r>
  <r>
    <s v="155812208711"/>
    <x v="7"/>
    <n v="625000"/>
    <n v="15"/>
    <n v="120"/>
    <s v="II"/>
  </r>
  <r>
    <s v="113720025"/>
    <x v="8"/>
    <n v="62849.599999999999"/>
    <n v="15"/>
    <n v="120"/>
    <s v="II"/>
  </r>
  <r>
    <s v="155808857412"/>
    <x v="9"/>
    <n v="625000"/>
    <n v="15"/>
    <n v="120"/>
    <s v="II"/>
  </r>
  <r>
    <s v="119560741"/>
    <x v="10"/>
    <n v="270000"/>
    <n v="15"/>
    <n v="120"/>
    <s v="II"/>
  </r>
  <r>
    <s v="155811414402"/>
    <x v="11"/>
    <n v="625000"/>
    <n v="15"/>
    <n v="120"/>
    <s v="II"/>
  </r>
  <r>
    <s v="118390380"/>
    <x v="12"/>
    <n v="285000"/>
    <n v="15"/>
    <n v="120"/>
    <s v="II"/>
  </r>
  <r>
    <s v="402100360"/>
    <x v="13"/>
    <n v="500000"/>
    <n v="15"/>
    <n v="120"/>
    <s v="II"/>
  </r>
  <r>
    <s v="109918390"/>
    <x v="14"/>
    <n v="850000"/>
    <n v="15"/>
    <n v="120"/>
    <s v="II"/>
  </r>
  <r>
    <s v="503830080"/>
    <x v="15"/>
    <n v="27500.04"/>
    <n v="0"/>
    <n v="0"/>
    <s v="II"/>
  </r>
  <r>
    <s v="603860786"/>
    <x v="16"/>
    <n v="700000"/>
    <n v="15"/>
    <n v="120"/>
    <s v="II"/>
  </r>
  <r>
    <s v="118850480"/>
    <x v="17"/>
    <n v="275000"/>
    <n v="15"/>
    <n v="120"/>
    <s v="II"/>
  </r>
  <r>
    <s v="107820208"/>
    <x v="18"/>
    <n v="400000"/>
    <n v="15"/>
    <n v="120"/>
    <s v="II"/>
  </r>
  <r>
    <s v="114960883"/>
    <x v="19"/>
    <n v="450000"/>
    <n v="15"/>
    <n v="120"/>
    <s v="II"/>
  </r>
  <r>
    <s v="117580328"/>
    <x v="20"/>
    <n v="300000"/>
    <n v="15"/>
    <n v="120"/>
    <s v="II"/>
  </r>
  <r>
    <s v="155831383030"/>
    <x v="21"/>
    <n v="361325"/>
    <n v="15"/>
    <n v="120"/>
    <s v="II"/>
  </r>
  <r>
    <s v="155805626315"/>
    <x v="22"/>
    <n v="360000"/>
    <n v="15"/>
    <n v="120"/>
    <s v="II"/>
  </r>
  <r>
    <s v="206620913"/>
    <x v="23"/>
    <n v="415086.5"/>
    <n v="15"/>
    <n v="120"/>
    <s v="II"/>
  </r>
  <r>
    <s v="504490084"/>
    <x v="24"/>
    <n v="170000"/>
    <n v="10"/>
    <n v="80"/>
    <s v="II"/>
  </r>
  <r>
    <s v="117050881"/>
    <x v="25"/>
    <n v="625000"/>
    <n v="15"/>
    <n v="120"/>
    <s v="II"/>
  </r>
  <r>
    <s v="155801169221"/>
    <x v="26"/>
    <n v="872047"/>
    <n v="15"/>
    <n v="120"/>
    <s v="II"/>
  </r>
  <r>
    <s v="155810584606"/>
    <x v="27"/>
    <n v="450000"/>
    <n v="15"/>
    <n v="120"/>
    <s v="II"/>
  </r>
  <r>
    <s v="119050365"/>
    <x v="0"/>
    <n v="375000"/>
    <n v="15"/>
    <n v="120"/>
    <s v="I"/>
  </r>
  <r>
    <s v="119280025"/>
    <x v="2"/>
    <n v="255000"/>
    <n v="15"/>
    <n v="120"/>
    <s v="I"/>
  </r>
  <r>
    <s v="402550150"/>
    <x v="3"/>
    <n v="300000"/>
    <n v="15"/>
    <n v="120"/>
    <s v="I"/>
  </r>
  <r>
    <s v="900980939"/>
    <x v="4"/>
    <n v="650000.00000000012"/>
    <n v="15"/>
    <n v="120"/>
    <s v="I"/>
  </r>
  <r>
    <s v="111410316"/>
    <x v="5"/>
    <n v="250000"/>
    <n v="15"/>
    <n v="120"/>
    <s v="I"/>
  </r>
  <r>
    <s v="155812208711"/>
    <x v="7"/>
    <n v="625000.00000000012"/>
    <n v="15"/>
    <n v="120"/>
    <s v="I"/>
  </r>
  <r>
    <s v="113720025"/>
    <x v="8"/>
    <n v="69134.55"/>
    <n v="15"/>
    <n v="120"/>
    <s v="I"/>
  </r>
  <r>
    <s v="155808857412"/>
    <x v="9"/>
    <n v="625000.00000000012"/>
    <n v="15"/>
    <n v="120"/>
    <s v="I"/>
  </r>
  <r>
    <s v="155823862020"/>
    <x v="6"/>
    <n v="201802.75000000003"/>
    <n v="15"/>
    <n v="120"/>
    <s v="I"/>
  </r>
  <r>
    <s v="119560741"/>
    <x v="10"/>
    <n v="225000"/>
    <n v="15"/>
    <n v="120"/>
    <s v="I"/>
  </r>
  <r>
    <s v="155811414402"/>
    <x v="11"/>
    <n v="625000.00000000012"/>
    <n v="15"/>
    <n v="120"/>
    <s v="I"/>
  </r>
  <r>
    <s v="118390380"/>
    <x v="12"/>
    <n v="285000"/>
    <n v="15"/>
    <n v="120"/>
    <s v="I"/>
  </r>
  <r>
    <s v="109918390"/>
    <x v="14"/>
    <n v="850000"/>
    <n v="15"/>
    <n v="120"/>
    <s v="I"/>
  </r>
  <r>
    <s v="503830080"/>
    <x v="15"/>
    <n v="256666.69333333336"/>
    <n v="15"/>
    <n v="120"/>
    <s v="I"/>
  </r>
  <r>
    <s v="113450466"/>
    <x v="28"/>
    <n v="750000"/>
    <n v="15"/>
    <n v="120"/>
    <s v="I"/>
  </r>
  <r>
    <s v="603860786"/>
    <x v="16"/>
    <n v="700000"/>
    <n v="15"/>
    <n v="120"/>
    <s v="I"/>
  </r>
  <r>
    <s v="118850480"/>
    <x v="17"/>
    <n v="275000.00000000006"/>
    <n v="15"/>
    <n v="120"/>
    <s v="I"/>
  </r>
  <r>
    <s v="107820208"/>
    <x v="18"/>
    <n v="400000"/>
    <n v="15"/>
    <n v="120"/>
    <s v="I"/>
  </r>
  <r>
    <s v="114960883"/>
    <x v="19"/>
    <n v="450000"/>
    <n v="15"/>
    <n v="120"/>
    <s v="I"/>
  </r>
  <r>
    <s v="117580328"/>
    <x v="20"/>
    <n v="300000"/>
    <n v="15"/>
    <n v="120"/>
    <s v="I"/>
  </r>
  <r>
    <s v="155831383030"/>
    <x v="21"/>
    <n v="361325"/>
    <n v="15"/>
    <n v="120"/>
    <s v="I"/>
  </r>
  <r>
    <s v="155805626315"/>
    <x v="22"/>
    <n v="360000"/>
    <n v="15"/>
    <n v="120"/>
    <s v="I"/>
  </r>
  <r>
    <s v="206620913"/>
    <x v="23"/>
    <n v="415086.5"/>
    <n v="15"/>
    <n v="120"/>
    <s v="I"/>
  </r>
  <r>
    <s v="117050881"/>
    <x v="25"/>
    <n v="625000.00000000012"/>
    <n v="15"/>
    <n v="120"/>
    <s v="I"/>
  </r>
  <r>
    <s v="155801169221"/>
    <x v="26"/>
    <n v="872047"/>
    <n v="15"/>
    <n v="120"/>
    <s v="I"/>
  </r>
  <r>
    <s v="155810584606"/>
    <x v="27"/>
    <n v="450000"/>
    <n v="15"/>
    <n v="120"/>
    <s v="I"/>
  </r>
  <r>
    <s v="155825939916"/>
    <x v="29"/>
    <n v="421200"/>
    <n v="14.625"/>
    <n v="117"/>
    <s v="II"/>
  </r>
  <r>
    <s v="110880987"/>
    <x v="30"/>
    <n v="143850"/>
    <n v="8.5625"/>
    <n v="68.5"/>
    <s v="II"/>
  </r>
  <r>
    <s v="155802890802"/>
    <x v="31"/>
    <n v="230400"/>
    <n v="12"/>
    <n v="96"/>
    <s v="II"/>
  </r>
  <r>
    <s v="114220322"/>
    <x v="32"/>
    <n v="8500"/>
    <n v="0.625"/>
    <n v="5"/>
    <s v="II"/>
  </r>
  <r>
    <s v="155852120216"/>
    <x v="33"/>
    <n v="10200"/>
    <n v="0.75"/>
    <n v="6"/>
    <s v="II"/>
  </r>
  <r>
    <s v="113600392"/>
    <x v="34"/>
    <n v="222300"/>
    <n v="14.625"/>
    <n v="117"/>
    <s v="II"/>
  </r>
  <r>
    <s v="155828159622"/>
    <x v="35"/>
    <n v="222300"/>
    <n v="14.625"/>
    <n v="117"/>
    <s v="II"/>
  </r>
  <r>
    <s v="111460970"/>
    <x v="36"/>
    <n v="269100"/>
    <n v="14.625"/>
    <n v="117"/>
    <s v="II"/>
  </r>
  <r>
    <s v="118860849"/>
    <x v="37"/>
    <n v="164475"/>
    <n v="12.09375"/>
    <n v="96.75"/>
    <s v="II"/>
  </r>
  <r>
    <s v="155801595501"/>
    <x v="38"/>
    <n v="293400"/>
    <n v="15.28125"/>
    <n v="122.25"/>
    <s v="II"/>
  </r>
  <r>
    <s v="115960821"/>
    <x v="39"/>
    <n v="182325"/>
    <n v="13.40625"/>
    <n v="107.25"/>
    <s v="II"/>
  </r>
  <r>
    <s v="112780456"/>
    <x v="40"/>
    <n v="264600"/>
    <n v="13.78125"/>
    <n v="110.25"/>
    <s v="II"/>
  </r>
  <r>
    <s v="801110094"/>
    <x v="41"/>
    <n v="165600"/>
    <n v="11.5"/>
    <n v="92"/>
    <s v="II"/>
  </r>
  <r>
    <s v="155853322303"/>
    <x v="42"/>
    <n v="202500"/>
    <n v="14.0625"/>
    <n v="112.5"/>
    <s v="II"/>
  </r>
  <r>
    <s v="703240261"/>
    <x v="43"/>
    <n v="187425"/>
    <n v="13.78125"/>
    <n v="110.25"/>
    <s v="II"/>
  </r>
  <r>
    <s v="155849028612"/>
    <x v="44"/>
    <n v="190800"/>
    <n v="13.25"/>
    <n v="106"/>
    <s v="II"/>
  </r>
  <r>
    <s v="155852315516"/>
    <x v="45"/>
    <n v="222525"/>
    <n v="12.09375"/>
    <n v="96.75"/>
    <s v="II"/>
  </r>
  <r>
    <s v="155823969709"/>
    <x v="46"/>
    <n v="236400"/>
    <n v="12.3125"/>
    <n v="98.5"/>
    <s v="II"/>
  </r>
  <r>
    <s v="155815303004"/>
    <x v="47"/>
    <n v="180000"/>
    <n v="12.5"/>
    <n v="100"/>
    <s v="II"/>
  </r>
  <r>
    <s v="116370204"/>
    <x v="48"/>
    <n v="184800"/>
    <n v="9.625"/>
    <n v="77"/>
    <s v="II"/>
  </r>
  <r>
    <s v="155827232401"/>
    <x v="49"/>
    <n v="187200"/>
    <n v="9.75"/>
    <n v="78"/>
    <s v="II"/>
  </r>
  <r>
    <s v="116720433"/>
    <x v="50"/>
    <n v="236325"/>
    <n v="12.84375"/>
    <n v="102.75"/>
    <s v="II"/>
  </r>
  <r>
    <s v="115940083"/>
    <x v="51"/>
    <n v="108000"/>
    <n v="5.625"/>
    <n v="45"/>
    <s v="II"/>
  </r>
  <r>
    <s v="503350240"/>
    <x v="52"/>
    <n v="192100"/>
    <n v="14.125"/>
    <n v="113"/>
    <s v="II"/>
  </r>
  <r>
    <s v="106070747"/>
    <x v="53"/>
    <n v="205200"/>
    <n v="14.25"/>
    <n v="114"/>
    <s v="II"/>
  </r>
  <r>
    <s v="155834721111"/>
    <x v="54"/>
    <n v="247925"/>
    <n v="12.1875"/>
    <n v="97.5"/>
    <s v="II"/>
  </r>
  <r>
    <s v="116010713"/>
    <x v="55"/>
    <n v="258300"/>
    <n v="15.375"/>
    <n v="123"/>
    <s v="II"/>
  </r>
  <r>
    <s v="155838070829"/>
    <x v="56"/>
    <n v="246675"/>
    <n v="13.40625"/>
    <n v="107.25"/>
    <s v="II"/>
  </r>
  <r>
    <s v="155801161534"/>
    <x v="57"/>
    <n v="216000"/>
    <n v="15"/>
    <n v="120"/>
    <s v="II"/>
  </r>
  <r>
    <s v="155830725325"/>
    <x v="58"/>
    <n v="270600"/>
    <n v="15.375"/>
    <n v="123"/>
    <s v="II"/>
  </r>
  <r>
    <s v="117540332"/>
    <x v="59"/>
    <n v="223387.5"/>
    <n v="15.09375"/>
    <n v="120.75"/>
    <s v="II"/>
  </r>
  <r>
    <s v="118050408"/>
    <x v="60"/>
    <n v="108900"/>
    <n v="6.1875"/>
    <n v="49.5"/>
    <s v="II"/>
  </r>
  <r>
    <s v="800890688"/>
    <x v="61"/>
    <n v="234000"/>
    <n v="14.625"/>
    <n v="117"/>
    <s v="II"/>
  </r>
  <r>
    <s v="155822458706"/>
    <x v="62"/>
    <n v="200400"/>
    <n v="10.4375"/>
    <n v="83.5"/>
    <s v="II"/>
  </r>
  <r>
    <s v="155813199412"/>
    <x v="63"/>
    <n v="48000"/>
    <n v="2.5"/>
    <n v="20"/>
    <s v="I"/>
  </r>
  <r>
    <s v="118860849"/>
    <x v="37"/>
    <n v="189550"/>
    <n v="12.9375"/>
    <n v="103.5"/>
    <s v="I"/>
  </r>
  <r>
    <s v="155801595501"/>
    <x v="38"/>
    <n v="265200"/>
    <n v="12.8125"/>
    <n v="102.5"/>
    <s v="I"/>
  </r>
  <r>
    <s v="115960821"/>
    <x v="39"/>
    <n v="204000"/>
    <n v="15"/>
    <n v="120"/>
    <s v="I"/>
  </r>
  <r>
    <s v="112780456"/>
    <x v="40"/>
    <n v="276000"/>
    <n v="13.875"/>
    <n v="111"/>
    <s v="I"/>
  </r>
  <r>
    <s v="801110094"/>
    <x v="41"/>
    <n v="218700"/>
    <n v="15.1875"/>
    <n v="121.5"/>
    <s v="I"/>
  </r>
  <r>
    <s v="155853322303"/>
    <x v="42"/>
    <n v="216000"/>
    <n v="15"/>
    <n v="120"/>
    <s v="I"/>
  </r>
  <r>
    <s v="703240261"/>
    <x v="43"/>
    <n v="204000"/>
    <n v="15"/>
    <n v="120"/>
    <s v="I"/>
  </r>
  <r>
    <s v="114220322"/>
    <x v="32"/>
    <n v="51000"/>
    <n v="3.75"/>
    <n v="30"/>
    <s v="I"/>
  </r>
  <r>
    <s v="155849028612"/>
    <x v="44"/>
    <n v="180000"/>
    <n v="12.5"/>
    <n v="100"/>
    <s v="I"/>
  </r>
  <r>
    <s v="155852315516"/>
    <x v="45"/>
    <n v="270825"/>
    <n v="14.71875"/>
    <n v="117.75"/>
    <s v="I"/>
  </r>
  <r>
    <s v="155823969709"/>
    <x v="46"/>
    <n v="295200"/>
    <n v="15.375"/>
    <n v="123"/>
    <s v="I"/>
  </r>
  <r>
    <s v="155815303004"/>
    <x v="47"/>
    <n v="211950"/>
    <n v="14.71875"/>
    <n v="117.75"/>
    <s v="I"/>
  </r>
  <r>
    <s v="116370204"/>
    <x v="48"/>
    <n v="204600"/>
    <n v="10.65625"/>
    <n v="85.25"/>
    <s v="I"/>
  </r>
  <r>
    <s v="116720433"/>
    <x v="50"/>
    <n v="80500"/>
    <n v="4.375"/>
    <n v="35"/>
    <s v="I"/>
  </r>
  <r>
    <s v="155827232401"/>
    <x v="49"/>
    <n v="288000"/>
    <n v="15"/>
    <n v="120"/>
    <s v="I"/>
  </r>
  <r>
    <s v="503350240"/>
    <x v="52"/>
    <n v="201450"/>
    <n v="14.8125"/>
    <n v="118.5"/>
    <s v="I"/>
  </r>
  <r>
    <s v="155810451233"/>
    <x v="64"/>
    <n v="151800"/>
    <n v="8.25"/>
    <n v="66"/>
    <s v="I"/>
  </r>
  <r>
    <s v="106070747"/>
    <x v="53"/>
    <n v="216000"/>
    <n v="15"/>
    <n v="120"/>
    <s v="I"/>
  </r>
  <r>
    <s v="116010713"/>
    <x v="55"/>
    <n v="255150"/>
    <n v="15.1875"/>
    <n v="121.5"/>
    <s v="I"/>
  </r>
  <r>
    <s v="155838070829"/>
    <x v="56"/>
    <n v="274275"/>
    <n v="14.90625"/>
    <n v="119.25"/>
    <s v="I"/>
  </r>
  <r>
    <s v="155830725325"/>
    <x v="58"/>
    <n v="254100"/>
    <n v="13.4375"/>
    <n v="107.5"/>
    <s v="I"/>
  </r>
  <r>
    <s v="155825939916"/>
    <x v="29"/>
    <n v="469800"/>
    <n v="15.375"/>
    <n v="123"/>
    <s v="I"/>
  </r>
  <r>
    <s v="110880987"/>
    <x v="30"/>
    <n v="245700"/>
    <n v="14.625"/>
    <n v="117"/>
    <s v="I"/>
  </r>
  <r>
    <s v="113600392"/>
    <x v="34"/>
    <n v="188700"/>
    <n v="13.875"/>
    <n v="111"/>
    <s v="I"/>
  </r>
  <r>
    <s v="111460970"/>
    <x v="36"/>
    <n v="270600"/>
    <n v="15.375"/>
    <n v="123"/>
    <s v="I"/>
  </r>
  <r>
    <s v="155802890802"/>
    <x v="31"/>
    <n v="266400"/>
    <n v="13.875"/>
    <n v="111"/>
    <s v="I"/>
  </r>
  <r>
    <s v="155834721111"/>
    <x v="54"/>
    <n v="211500"/>
    <n v="9.25"/>
    <n v="74"/>
    <s v="I"/>
  </r>
  <r>
    <s v="155828159622"/>
    <x v="35"/>
    <n v="209100"/>
    <n v="15.375"/>
    <n v="123"/>
    <s v="I"/>
  </r>
  <r>
    <s v="117540332"/>
    <x v="59"/>
    <n v="216450"/>
    <n v="14.625"/>
    <n v="117"/>
    <s v="I"/>
  </r>
  <r>
    <s v="118050408"/>
    <x v="60"/>
    <n v="257400"/>
    <n v="14.625"/>
    <n v="117"/>
    <s v="I"/>
  </r>
  <r>
    <s v="800890688"/>
    <x v="61"/>
    <n v="234000"/>
    <n v="14.625"/>
    <n v="117"/>
    <s v="I"/>
  </r>
  <r>
    <s v="155822458706"/>
    <x v="62"/>
    <n v="196350"/>
    <n v="14.4375"/>
    <n v="115.5"/>
    <s v="I"/>
  </r>
  <r>
    <s v="155801161534"/>
    <x v="57"/>
    <n v="210600"/>
    <n v="14.625"/>
    <n v="117"/>
    <s v="I"/>
  </r>
  <r>
    <s v="118050408"/>
    <x v="60"/>
    <n v="69300"/>
    <n v="3.9375"/>
    <n v="31.5"/>
    <s v="I"/>
  </r>
  <r>
    <s v="504490261"/>
    <x v="65"/>
    <n v="85000"/>
    <n v="6.25"/>
    <n v="50"/>
    <s v="I"/>
  </r>
  <r>
    <s v="155812966916"/>
    <x v="66"/>
    <n v="232875"/>
    <n v="12.65625"/>
    <n v="101.25"/>
    <s v="I"/>
  </r>
  <r>
    <s v="155813199412"/>
    <x v="63"/>
    <n v="243000"/>
    <n v="12.65625"/>
    <n v="101.25"/>
    <s v="I"/>
  </r>
  <r>
    <s v="155828541318"/>
    <x v="67"/>
    <n v="232875"/>
    <n v="12.65625"/>
    <n v="101.25"/>
    <s v="I"/>
  </r>
  <r>
    <s v="155826555500"/>
    <x v="68"/>
    <n v="251850"/>
    <n v="13.6875"/>
    <n v="109.5"/>
    <s v="I"/>
  </r>
  <r>
    <s v="155815008025"/>
    <x v="69"/>
    <n v="248400"/>
    <n v="13.5"/>
    <n v="108"/>
    <s v="I"/>
  </r>
  <r>
    <s v="155820544136"/>
    <x v="70"/>
    <n v="232875"/>
    <n v="12.65625"/>
    <n v="101.25"/>
    <s v="I"/>
  </r>
  <r>
    <s v="503550366"/>
    <x v="71"/>
    <n v="184950"/>
    <n v="12.84375"/>
    <n v="102.75"/>
    <s v="I"/>
  </r>
  <r>
    <s v="155856023500"/>
    <x v="72"/>
    <n v="183600"/>
    <n v="13.5"/>
    <n v="108"/>
    <s v="I"/>
  </r>
  <r>
    <s v="155822850403"/>
    <x v="73"/>
    <n v="232875"/>
    <n v="12.65625"/>
    <n v="101.25"/>
    <s v="I"/>
  </r>
  <r>
    <s v="504080849"/>
    <x v="74"/>
    <n v="172125"/>
    <n v="12.65625"/>
    <n v="101.25"/>
    <s v="I"/>
  </r>
  <r>
    <s v="503910829"/>
    <x v="75"/>
    <n v="152150"/>
    <n v="11.1875"/>
    <n v="89.5"/>
    <s v="I"/>
  </r>
  <r>
    <s v="503680233"/>
    <x v="76"/>
    <n v="182250"/>
    <n v="12.65625"/>
    <n v="101.25"/>
    <s v="I"/>
  </r>
  <r>
    <s v="155812470701"/>
    <x v="77"/>
    <n v="268125"/>
    <n v="13.40625"/>
    <n v="107.25"/>
    <s v="I"/>
  </r>
  <r>
    <s v="110010495"/>
    <x v="78"/>
    <n v="182850"/>
    <n v="9.9375"/>
    <n v="79.5"/>
    <s v="I"/>
  </r>
  <r>
    <s v="155853640719"/>
    <x v="79"/>
    <n v="182250"/>
    <n v="12.65625"/>
    <n v="101.25"/>
    <s v="I"/>
  </r>
  <r>
    <s v="155803335508"/>
    <x v="80"/>
    <n v="67850"/>
    <n v="3.6875"/>
    <n v="29.5"/>
    <s v="I"/>
  </r>
  <r>
    <s v="605020649"/>
    <x v="81"/>
    <n v="152150"/>
    <n v="11.1875"/>
    <n v="89.5"/>
    <s v="I"/>
  </r>
  <r>
    <s v="155818373312"/>
    <x v="82"/>
    <n v="232875"/>
    <n v="12.65625"/>
    <n v="101.25"/>
    <s v="I"/>
  </r>
  <r>
    <s v="155854281421"/>
    <x v="83"/>
    <n v="184950"/>
    <n v="12.84375"/>
    <n v="102.75"/>
    <s v="I"/>
  </r>
  <r>
    <s v="155819086014"/>
    <x v="84"/>
    <n v="182250"/>
    <n v="12.65625"/>
    <n v="101.25"/>
    <s v="I"/>
  </r>
  <r>
    <s v="155855982612"/>
    <x v="85"/>
    <n v="183600"/>
    <n v="13.5"/>
    <n v="108"/>
    <s v="I"/>
  </r>
  <r>
    <s v="801200291"/>
    <x v="86"/>
    <n v="222750"/>
    <n v="12.65625"/>
    <n v="101.25"/>
    <s v="I"/>
  </r>
  <r>
    <s v="155827894924"/>
    <x v="87"/>
    <n v="263250"/>
    <n v="12.65625"/>
    <n v="101.25"/>
    <s v="I"/>
  </r>
  <r>
    <s v="155810428622"/>
    <x v="88"/>
    <n v="236325"/>
    <n v="12.84375"/>
    <n v="102.75"/>
    <s v="I"/>
  </r>
  <r>
    <s v="702330243"/>
    <x v="89"/>
    <n v="175950"/>
    <n v="12.9375"/>
    <n v="103.5"/>
    <s v="I"/>
  </r>
  <r>
    <s v="155822762831"/>
    <x v="90"/>
    <n v="232875"/>
    <n v="12.65625"/>
    <n v="101.25"/>
    <s v="I"/>
  </r>
  <r>
    <s v="155807738720"/>
    <x v="91"/>
    <n v="222750"/>
    <n v="12.65625"/>
    <n v="101.25"/>
    <s v="I"/>
  </r>
  <r>
    <s v="502950617"/>
    <x v="92"/>
    <n v="243225"/>
    <n v="13.21875"/>
    <n v="105.75"/>
    <s v="I"/>
  </r>
  <r>
    <s v="702950800"/>
    <x v="93"/>
    <n v="172125"/>
    <n v="12.65625"/>
    <n v="101.25"/>
    <s v="I"/>
  </r>
  <r>
    <s v="155836083512"/>
    <x v="94"/>
    <n v="231150"/>
    <n v="12.5625"/>
    <n v="100.5"/>
    <s v="I"/>
  </r>
  <r>
    <s v="155841027319"/>
    <x v="95"/>
    <n v="199100"/>
    <n v="11.3125"/>
    <n v="90.5"/>
    <s v="I"/>
  </r>
  <r>
    <s v="155850581615"/>
    <x v="96"/>
    <n v="183600"/>
    <n v="13.5"/>
    <n v="108"/>
    <s v="I"/>
  </r>
  <r>
    <s v="155839104713"/>
    <x v="97"/>
    <n v="232875"/>
    <n v="12.65625"/>
    <n v="101.25"/>
    <s v="I"/>
  </r>
  <r>
    <s v="116320130"/>
    <x v="98"/>
    <n v="168300"/>
    <n v="12.375"/>
    <n v="99"/>
    <s v="I"/>
  </r>
  <r>
    <s v="155856501704"/>
    <x v="99"/>
    <n v="182250"/>
    <n v="12.65625"/>
    <n v="101.25"/>
    <s v="I"/>
  </r>
  <r>
    <s v="155841441808"/>
    <x v="100"/>
    <n v="172125"/>
    <n v="12.65625"/>
    <n v="101.25"/>
    <s v="I"/>
  </r>
  <r>
    <s v="155841441701"/>
    <x v="101"/>
    <n v="152150"/>
    <n v="11.1875"/>
    <n v="89.5"/>
    <s v="I"/>
  </r>
  <r>
    <s v="205990636"/>
    <x v="102"/>
    <n v="205850"/>
    <n v="11.1875"/>
    <n v="89.5"/>
    <s v="I"/>
  </r>
  <r>
    <s v="155811219323"/>
    <x v="103"/>
    <n v="236325"/>
    <n v="12.84375"/>
    <n v="102.75"/>
    <s v="I"/>
  </r>
  <r>
    <s v="155801052809"/>
    <x v="104"/>
    <n v="236325"/>
    <n v="12.84375"/>
    <n v="102.75"/>
    <s v="I"/>
  </r>
  <r>
    <s v="155835541923"/>
    <x v="105"/>
    <n v="172125"/>
    <n v="12.65625"/>
    <n v="101.25"/>
    <s v="I"/>
  </r>
  <r>
    <s v="155854732335"/>
    <x v="106"/>
    <n v="161100"/>
    <n v="11.1875"/>
    <n v="89.5"/>
    <s v="I"/>
  </r>
  <r>
    <s v="155829571328"/>
    <x v="107"/>
    <n v="67150"/>
    <n v="4.9375"/>
    <n v="39.5"/>
    <s v="I"/>
  </r>
  <r>
    <s v="155837587124"/>
    <x v="108"/>
    <n v="205850"/>
    <n v="11.1875"/>
    <n v="89.5"/>
    <s v="I"/>
  </r>
  <r>
    <s v="504410488"/>
    <x v="109"/>
    <n v="184950"/>
    <n v="12.84375"/>
    <n v="102.75"/>
    <s v="I"/>
  </r>
  <r>
    <s v="122200089630"/>
    <x v="110"/>
    <n v="172125"/>
    <n v="12.65625"/>
    <n v="101.25"/>
    <s v="I"/>
  </r>
  <r>
    <s v="155811160108"/>
    <x v="111"/>
    <n v="107100"/>
    <n v="7.4375"/>
    <n v="59.5"/>
    <s v="I"/>
  </r>
  <r>
    <s v="155834364205"/>
    <x v="112"/>
    <n v="238050"/>
    <n v="12.9375"/>
    <n v="103.5"/>
    <s v="I"/>
  </r>
  <r>
    <s v="155856825130"/>
    <x v="113"/>
    <n v="178200"/>
    <n v="12.375"/>
    <n v="99"/>
    <s v="I"/>
  </r>
  <r>
    <s v="155829983217"/>
    <x v="114"/>
    <n v="172125"/>
    <n v="12.65625"/>
    <n v="101.25"/>
    <s v="I"/>
  </r>
  <r>
    <s v="155851577335"/>
    <x v="115"/>
    <n v="182250"/>
    <n v="12.65625"/>
    <n v="101.25"/>
    <s v="I"/>
  </r>
  <r>
    <s v="503680233"/>
    <x v="76"/>
    <n v="182250"/>
    <n v="12.65625"/>
    <n v="101.25"/>
    <s v="II"/>
  </r>
  <r>
    <s v="155855982612"/>
    <x v="85"/>
    <n v="153000"/>
    <n v="11.25"/>
    <n v="90"/>
    <s v="II"/>
  </r>
  <r>
    <s v="155856023500"/>
    <x v="72"/>
    <n v="179775"/>
    <n v="13.21875"/>
    <n v="105.75"/>
    <s v="II"/>
  </r>
  <r>
    <s v="155819086014"/>
    <x v="84"/>
    <n v="179550"/>
    <n v="12.46875"/>
    <n v="99.75"/>
    <s v="II"/>
  </r>
  <r>
    <s v="155812966916"/>
    <x v="66"/>
    <n v="205850"/>
    <n v="11.1875"/>
    <n v="89.5"/>
    <s v="II"/>
  </r>
  <r>
    <s v="155820544136"/>
    <x v="70"/>
    <n v="234600"/>
    <n v="12.75"/>
    <n v="102"/>
    <s v="II"/>
  </r>
  <r>
    <s v="155815008025"/>
    <x v="69"/>
    <n v="184000"/>
    <n v="10"/>
    <n v="80"/>
    <s v="II"/>
  </r>
  <r>
    <s v="155803688119"/>
    <x v="116"/>
    <n v="138000"/>
    <n v="7.5"/>
    <n v="60"/>
    <s v="II"/>
  </r>
  <r>
    <s v="504080849"/>
    <x v="74"/>
    <n v="165750"/>
    <n v="12.1875"/>
    <n v="97.5"/>
    <s v="II"/>
  </r>
  <r>
    <s v="155827894924"/>
    <x v="87"/>
    <n v="265200"/>
    <n v="12.75"/>
    <n v="102"/>
    <s v="II"/>
  </r>
  <r>
    <s v="155850581615"/>
    <x v="96"/>
    <n v="179775"/>
    <n v="13.21875"/>
    <n v="105.75"/>
    <s v="II"/>
  </r>
  <r>
    <s v="155841027319"/>
    <x v="95"/>
    <n v="222750"/>
    <n v="12.65625"/>
    <n v="101.25"/>
    <s v="II"/>
  </r>
  <r>
    <s v="155829571328"/>
    <x v="107"/>
    <n v="165750"/>
    <n v="12.1875"/>
    <n v="97.5"/>
    <s v="II"/>
  </r>
  <r>
    <s v="155813199412"/>
    <x v="63"/>
    <n v="239400"/>
    <n v="12.46875"/>
    <n v="99.75"/>
    <s v="II"/>
  </r>
  <r>
    <s v="155851577335"/>
    <x v="115"/>
    <n v="183600"/>
    <n v="12.75"/>
    <n v="102"/>
    <s v="II"/>
  </r>
  <r>
    <s v="155810428622"/>
    <x v="88"/>
    <n v="234600"/>
    <n v="12.75"/>
    <n v="102"/>
    <s v="II"/>
  </r>
  <r>
    <s v="801200291"/>
    <x v="86"/>
    <n v="203500"/>
    <n v="11.5625"/>
    <n v="92.5"/>
    <s v="II"/>
  </r>
  <r>
    <s v="205990636"/>
    <x v="102"/>
    <n v="232875"/>
    <n v="12.65625"/>
    <n v="101.25"/>
    <s v="II"/>
  </r>
  <r>
    <s v="155856825130"/>
    <x v="113"/>
    <n v="183600"/>
    <n v="12.75"/>
    <n v="102"/>
    <s v="II"/>
  </r>
  <r>
    <s v="502950617"/>
    <x v="92"/>
    <n v="229425"/>
    <n v="12.46875"/>
    <n v="99.75"/>
    <s v="II"/>
  </r>
  <r>
    <s v="155812470701"/>
    <x v="77"/>
    <n v="264375"/>
    <n v="13.21875"/>
    <n v="105.75"/>
    <s v="II"/>
  </r>
  <r>
    <s v="155853296428"/>
    <x v="117"/>
    <n v="51000"/>
    <n v="3.75"/>
    <n v="30"/>
    <s v="II"/>
  </r>
  <r>
    <s v="155809352624"/>
    <x v="118"/>
    <n v="243225"/>
    <n v="13.21875"/>
    <n v="105.75"/>
    <s v="II"/>
  </r>
  <r>
    <s v="503550366"/>
    <x v="71"/>
    <n v="182250"/>
    <n v="12.65625"/>
    <n v="101.25"/>
    <s v="II"/>
  </r>
  <r>
    <s v="155835541923"/>
    <x v="105"/>
    <n v="172125"/>
    <n v="12.65625"/>
    <n v="101.25"/>
    <s v="II"/>
  </r>
  <r>
    <s v="155822762831"/>
    <x v="90"/>
    <n v="232875"/>
    <n v="12.65625"/>
    <n v="101.25"/>
    <s v="II"/>
  </r>
  <r>
    <s v="155811219323"/>
    <x v="103"/>
    <n v="232875"/>
    <n v="12.65625"/>
    <n v="101.25"/>
    <s v="II"/>
  </r>
  <r>
    <s v="155826555500"/>
    <x v="68"/>
    <n v="251850"/>
    <n v="13.6875"/>
    <n v="109.5"/>
    <s v="II"/>
  </r>
  <r>
    <s v="155837587124"/>
    <x v="108"/>
    <n v="232875"/>
    <n v="12.65625"/>
    <n v="101.25"/>
    <s v="II"/>
  </r>
  <r>
    <s v="155818373312"/>
    <x v="82"/>
    <n v="232875"/>
    <n v="12.65625"/>
    <n v="101.25"/>
    <s v="II"/>
  </r>
  <r>
    <s v="155841441701"/>
    <x v="101"/>
    <n v="169575"/>
    <n v="12.46875"/>
    <n v="99.75"/>
    <s v="II"/>
  </r>
  <r>
    <s v="155841441808"/>
    <x v="100"/>
    <n v="173400"/>
    <n v="12.75"/>
    <n v="102"/>
    <s v="II"/>
  </r>
  <r>
    <s v="155828541318"/>
    <x v="67"/>
    <n v="234600"/>
    <n v="12.75"/>
    <n v="102"/>
    <s v="II"/>
  </r>
  <r>
    <s v="605020649"/>
    <x v="81"/>
    <n v="187425"/>
    <n v="13.78125"/>
    <n v="110.25"/>
    <s v="II"/>
  </r>
  <r>
    <s v="155801052809"/>
    <x v="104"/>
    <n v="232875"/>
    <n v="12.65625"/>
    <n v="101.25"/>
    <s v="II"/>
  </r>
  <r>
    <s v="503910829"/>
    <x v="75"/>
    <n v="170850"/>
    <n v="12.5625"/>
    <n v="100.5"/>
    <s v="II"/>
  </r>
  <r>
    <s v="155834364205"/>
    <x v="112"/>
    <n v="232875"/>
    <n v="12.65625"/>
    <n v="101.25"/>
    <s v="II"/>
  </r>
  <r>
    <s v="702330243"/>
    <x v="89"/>
    <n v="172125"/>
    <n v="12.65625"/>
    <n v="101.25"/>
    <s v="II"/>
  </r>
  <r>
    <s v="122200089630"/>
    <x v="110"/>
    <n v="173400"/>
    <n v="12.75"/>
    <n v="102"/>
    <s v="II"/>
  </r>
  <r>
    <s v="155807738720"/>
    <x v="91"/>
    <n v="222750"/>
    <n v="12.65625"/>
    <n v="101.25"/>
    <s v="II"/>
  </r>
  <r>
    <s v="116320130"/>
    <x v="98"/>
    <n v="173400"/>
    <n v="12.75"/>
    <n v="102"/>
    <s v="II"/>
  </r>
  <r>
    <s v="702950800"/>
    <x v="93"/>
    <n v="68000"/>
    <n v="5"/>
    <n v="40"/>
    <s v="II"/>
  </r>
  <r>
    <s v="205510920"/>
    <x v="119"/>
    <n v="136000"/>
    <n v="10"/>
    <n v="80"/>
    <s v="II"/>
  </r>
  <r>
    <s v="155811160108"/>
    <x v="111"/>
    <n v="179550"/>
    <n v="12.46875"/>
    <n v="99.75"/>
    <s v="II"/>
  </r>
  <r>
    <s v="155854281421"/>
    <x v="83"/>
    <n v="183600"/>
    <n v="12.75"/>
    <n v="102"/>
    <s v="II"/>
  </r>
  <r>
    <s v="155854732335"/>
    <x v="106"/>
    <n v="179550"/>
    <n v="12.46875"/>
    <n v="99.75"/>
    <s v="II"/>
  </r>
  <r>
    <s v="155803335508"/>
    <x v="80"/>
    <n v="234600"/>
    <n v="12.75"/>
    <n v="102"/>
    <s v="II"/>
  </r>
  <r>
    <s v="155856501704"/>
    <x v="99"/>
    <n v="183600"/>
    <n v="12.75"/>
    <n v="102"/>
    <s v="II"/>
  </r>
  <r>
    <s v="155822850403"/>
    <x v="73"/>
    <n v="232875"/>
    <n v="12.65625"/>
    <n v="101.25"/>
    <s v="II"/>
  </r>
  <r>
    <s v="504410488"/>
    <x v="109"/>
    <n v="183600"/>
    <n v="12.75"/>
    <n v="102"/>
    <s v="II"/>
  </r>
  <r>
    <s v="155839104713"/>
    <x v="97"/>
    <n v="232875"/>
    <n v="12.65625"/>
    <n v="101.25"/>
    <s v="II"/>
  </r>
  <r>
    <s v="155806080607"/>
    <x v="120"/>
    <n v="243225"/>
    <n v="13.21875"/>
    <n v="105.75"/>
    <s v="II"/>
  </r>
  <r>
    <s v="155853640719"/>
    <x v="79"/>
    <n v="182250"/>
    <n v="12.65625"/>
    <n v="101.25"/>
    <s v="II"/>
  </r>
  <r>
    <s v="155829983217"/>
    <x v="114"/>
    <n v="173400"/>
    <n v="12.75"/>
    <n v="102"/>
    <s v="II"/>
  </r>
  <r>
    <s v="155836083512"/>
    <x v="94"/>
    <n v="219650"/>
    <n v="11.9375"/>
    <n v="95.5"/>
    <s v="II"/>
  </r>
  <r>
    <s v="118050408"/>
    <x v="60"/>
    <n v="266486"/>
    <n v="15.141249999999999"/>
    <n v="121.13"/>
    <s v="II"/>
  </r>
  <r>
    <s v="115690373"/>
    <x v="121"/>
    <n v="59925"/>
    <n v="4.40625"/>
    <n v="35.25"/>
    <s v="II"/>
  </r>
  <r>
    <s v="208820308"/>
    <x v="122"/>
    <n v="56950"/>
    <n v="4.1875"/>
    <n v="33.5"/>
    <s v="II"/>
  </r>
  <r>
    <s v="155819704000"/>
    <x v="123"/>
    <n v="74025"/>
    <n v="4.40625"/>
    <n v="35.25"/>
    <s v="II"/>
  </r>
  <r>
    <s v="155822458706"/>
    <x v="62"/>
    <n v="269400"/>
    <n v="14.03125"/>
    <n v="112.25"/>
    <s v="II"/>
  </r>
  <r>
    <s v="110880987"/>
    <x v="30"/>
    <n v="238875"/>
    <n v="14.21875"/>
    <n v="113.75"/>
    <s v="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FF285-9508-42F4-952E-819FD125AC7D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H1:I3" firstHeaderRow="1" firstDataRow="1" firstDataCol="1"/>
  <pivotFields count="6">
    <pivotField showAll="0"/>
    <pivotField axis="axisRow" showAll="0">
      <items count="125">
        <item h="1" x="65"/>
        <item h="1" x="0"/>
        <item h="1" x="29"/>
        <item h="1" x="66"/>
        <item h="1" x="63"/>
        <item h="1" x="67"/>
        <item h="1" x="68"/>
        <item h="1" x="37"/>
        <item h="1" x="69"/>
        <item h="1" x="1"/>
        <item h="1" x="70"/>
        <item h="1" x="2"/>
        <item h="1" x="38"/>
        <item h="1" x="3"/>
        <item x="30"/>
        <item h="1" x="71"/>
        <item h="1" x="39"/>
        <item h="1" x="72"/>
        <item h="1" x="73"/>
        <item h="1" x="74"/>
        <item h="1" x="75"/>
        <item h="1" x="40"/>
        <item h="1" x="76"/>
        <item h="1" x="77"/>
        <item h="1" x="78"/>
        <item h="1" x="41"/>
        <item h="1" x="4"/>
        <item h="1" x="79"/>
        <item h="1" x="31"/>
        <item h="1" x="5"/>
        <item h="1" x="80"/>
        <item h="1" x="81"/>
        <item h="1" x="6"/>
        <item h="1" x="7"/>
        <item h="1" x="82"/>
        <item h="1" x="83"/>
        <item h="1" x="84"/>
        <item h="1" x="116"/>
        <item h="1" x="85"/>
        <item h="1" x="42"/>
        <item h="1" x="86"/>
        <item h="1" x="87"/>
        <item h="1" x="43"/>
        <item h="1" x="88"/>
        <item h="1" x="89"/>
        <item h="1" x="8"/>
        <item h="1" x="90"/>
        <item h="1" x="91"/>
        <item h="1" x="9"/>
        <item h="1" x="92"/>
        <item h="1" x="93"/>
        <item h="1" x="32"/>
        <item h="1" x="44"/>
        <item h="1" x="45"/>
        <item h="1" x="59"/>
        <item h="1" x="46"/>
        <item h="1" x="94"/>
        <item h="1" x="95"/>
        <item h="1" x="47"/>
        <item h="1" x="60"/>
        <item h="1" x="119"/>
        <item h="1" x="48"/>
        <item h="1" x="10"/>
        <item h="1" x="96"/>
        <item h="1" x="122"/>
        <item h="1" x="50"/>
        <item h="1" x="49"/>
        <item h="1" x="97"/>
        <item h="1" x="61"/>
        <item h="1" x="11"/>
        <item h="1" x="98"/>
        <item h="1" x="62"/>
        <item h="1" x="12"/>
        <item h="1" x="13"/>
        <item h="1" x="99"/>
        <item h="1" x="123"/>
        <item h="1" x="51"/>
        <item h="1" x="100"/>
        <item h="1" x="101"/>
        <item h="1" x="117"/>
        <item h="1" x="102"/>
        <item h="1" x="103"/>
        <item h="1" x="14"/>
        <item h="1" x="15"/>
        <item h="1" x="120"/>
        <item h="1" x="104"/>
        <item h="1" x="28"/>
        <item h="1" x="105"/>
        <item h="1" x="33"/>
        <item h="1" x="106"/>
        <item h="1" x="107"/>
        <item h="1" x="108"/>
        <item h="1" x="52"/>
        <item h="1" x="109"/>
        <item h="1" x="110"/>
        <item h="1" x="64"/>
        <item h="1" x="16"/>
        <item h="1" x="34"/>
        <item h="1" x="17"/>
        <item h="1" x="53"/>
        <item h="1" x="18"/>
        <item h="1" x="54"/>
        <item h="1" x="35"/>
        <item h="1" x="19"/>
        <item h="1" x="20"/>
        <item h="1" x="55"/>
        <item h="1" x="111"/>
        <item h="1" x="21"/>
        <item h="1" x="22"/>
        <item h="1" x="118"/>
        <item h="1" x="23"/>
        <item h="1" x="36"/>
        <item h="1" x="112"/>
        <item h="1" x="24"/>
        <item h="1" x="113"/>
        <item h="1" x="56"/>
        <item h="1" x="25"/>
        <item h="1" x="57"/>
        <item h="1" x="121"/>
        <item h="1" x="58"/>
        <item h="1" x="114"/>
        <item h="1" x="26"/>
        <item h="1" x="115"/>
        <item h="1" x="27"/>
        <item t="default"/>
      </items>
    </pivotField>
    <pivotField dataField="1" showAll="0"/>
    <pivotField showAll="0"/>
    <pivotField numFmtId="2" showAll="0"/>
    <pivotField showAll="0"/>
  </pivotFields>
  <rowFields count="1">
    <field x="1"/>
  </rowFields>
  <rowItems count="2">
    <i>
      <x v="14"/>
    </i>
    <i t="grand">
      <x/>
    </i>
  </rowItems>
  <colItems count="1">
    <i/>
  </colItems>
  <dataFields count="1">
    <dataField name="Suma de Bruto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7"/>
  <sheetViews>
    <sheetView workbookViewId="0">
      <pane ySplit="1" topLeftCell="A2" activePane="bottomLeft" state="frozen"/>
      <selection pane="bottomLeft" activeCell="I2" sqref="I2"/>
    </sheetView>
  </sheetViews>
  <sheetFormatPr baseColWidth="10" defaultColWidth="8.88671875" defaultRowHeight="14.4"/>
  <cols>
    <col min="1" max="1" width="13" bestFit="1" customWidth="1"/>
    <col min="2" max="2" width="41" style="12" bestFit="1" customWidth="1"/>
    <col min="3" max="3" width="14.77734375" bestFit="1" customWidth="1"/>
    <col min="8" max="8" width="37.77734375" bestFit="1" customWidth="1"/>
    <col min="9" max="9" width="13.44140625" style="8" bestFit="1" customWidth="1"/>
    <col min="10" max="10" width="13.5546875" style="8" bestFit="1" customWidth="1"/>
    <col min="11" max="12" width="13.5546875" bestFit="1" customWidth="1"/>
  </cols>
  <sheetData>
    <row r="1" spans="1:10">
      <c r="A1" s="1" t="s">
        <v>0</v>
      </c>
      <c r="B1" s="11" t="s">
        <v>1</v>
      </c>
      <c r="C1" s="6" t="s">
        <v>62</v>
      </c>
      <c r="D1" s="3" t="s">
        <v>58</v>
      </c>
      <c r="E1" s="3" t="s">
        <v>59</v>
      </c>
      <c r="F1" s="3" t="s">
        <v>60</v>
      </c>
      <c r="H1" s="21" t="s">
        <v>256</v>
      </c>
      <c r="I1" t="s">
        <v>258</v>
      </c>
      <c r="J1"/>
    </row>
    <row r="2" spans="1:10">
      <c r="A2" s="2" t="s">
        <v>2</v>
      </c>
      <c r="B2" s="2" t="s">
        <v>3</v>
      </c>
      <c r="C2" s="7">
        <v>450000</v>
      </c>
      <c r="D2" s="4">
        <v>15</v>
      </c>
      <c r="E2" s="4">
        <v>120</v>
      </c>
      <c r="F2" s="5" t="s">
        <v>61</v>
      </c>
      <c r="H2" s="12" t="s">
        <v>68</v>
      </c>
      <c r="I2" s="22">
        <v>628425</v>
      </c>
      <c r="J2"/>
    </row>
    <row r="3" spans="1:10">
      <c r="A3" s="2" t="s">
        <v>4</v>
      </c>
      <c r="B3" s="2" t="s">
        <v>5</v>
      </c>
      <c r="C3" s="7">
        <v>150000</v>
      </c>
      <c r="D3" s="4">
        <v>15</v>
      </c>
      <c r="E3" s="4">
        <v>120</v>
      </c>
      <c r="F3" s="5" t="s">
        <v>61</v>
      </c>
      <c r="H3" s="12" t="s">
        <v>257</v>
      </c>
      <c r="I3" s="22">
        <v>628425</v>
      </c>
      <c r="J3"/>
    </row>
    <row r="4" spans="1:10">
      <c r="A4" s="2" t="s">
        <v>6</v>
      </c>
      <c r="B4" s="2" t="s">
        <v>7</v>
      </c>
      <c r="C4" s="7">
        <v>255000</v>
      </c>
      <c r="D4" s="4">
        <v>15</v>
      </c>
      <c r="E4" s="4">
        <v>120</v>
      </c>
      <c r="F4" s="5" t="s">
        <v>61</v>
      </c>
      <c r="I4"/>
      <c r="J4"/>
    </row>
    <row r="5" spans="1:10">
      <c r="A5" s="2" t="s">
        <v>8</v>
      </c>
      <c r="B5" s="2" t="s">
        <v>9</v>
      </c>
      <c r="C5" s="7">
        <v>300000</v>
      </c>
      <c r="D5" s="4">
        <v>15</v>
      </c>
      <c r="E5" s="4">
        <v>120</v>
      </c>
      <c r="F5" s="5" t="s">
        <v>61</v>
      </c>
      <c r="I5"/>
      <c r="J5"/>
    </row>
    <row r="6" spans="1:10">
      <c r="A6" s="2" t="s">
        <v>10</v>
      </c>
      <c r="B6" s="2" t="s">
        <v>11</v>
      </c>
      <c r="C6" s="7">
        <v>650000</v>
      </c>
      <c r="D6" s="4">
        <v>15</v>
      </c>
      <c r="E6" s="4">
        <v>120</v>
      </c>
      <c r="F6" s="5" t="s">
        <v>61</v>
      </c>
      <c r="I6"/>
      <c r="J6"/>
    </row>
    <row r="7" spans="1:10">
      <c r="A7" s="2" t="s">
        <v>12</v>
      </c>
      <c r="B7" s="2" t="s">
        <v>13</v>
      </c>
      <c r="C7" s="7">
        <v>250000</v>
      </c>
      <c r="D7" s="4">
        <v>15</v>
      </c>
      <c r="E7" s="4">
        <v>120</v>
      </c>
      <c r="F7" s="5" t="s">
        <v>61</v>
      </c>
      <c r="I7"/>
      <c r="J7"/>
    </row>
    <row r="8" spans="1:10">
      <c r="A8" s="2" t="s">
        <v>14</v>
      </c>
      <c r="B8" s="2" t="s">
        <v>15</v>
      </c>
      <c r="C8" s="7">
        <v>201802.75</v>
      </c>
      <c r="D8" s="4">
        <v>15</v>
      </c>
      <c r="E8" s="4">
        <v>120</v>
      </c>
      <c r="F8" s="5" t="s">
        <v>61</v>
      </c>
      <c r="I8"/>
      <c r="J8"/>
    </row>
    <row r="9" spans="1:10">
      <c r="A9" s="2" t="s">
        <v>16</v>
      </c>
      <c r="B9" s="2" t="s">
        <v>17</v>
      </c>
      <c r="C9" s="7">
        <v>625000</v>
      </c>
      <c r="D9" s="4">
        <v>15</v>
      </c>
      <c r="E9" s="4">
        <v>120</v>
      </c>
      <c r="F9" s="5" t="s">
        <v>61</v>
      </c>
      <c r="I9"/>
      <c r="J9"/>
    </row>
    <row r="10" spans="1:10">
      <c r="A10" s="2" t="s">
        <v>18</v>
      </c>
      <c r="B10" s="2" t="s">
        <v>19</v>
      </c>
      <c r="C10" s="7">
        <v>62849.599999999999</v>
      </c>
      <c r="D10" s="4">
        <v>15</v>
      </c>
      <c r="E10" s="4">
        <v>120</v>
      </c>
      <c r="F10" s="5" t="s">
        <v>61</v>
      </c>
      <c r="I10"/>
      <c r="J10"/>
    </row>
    <row r="11" spans="1:10">
      <c r="A11" s="2" t="s">
        <v>20</v>
      </c>
      <c r="B11" s="2" t="s">
        <v>21</v>
      </c>
      <c r="C11" s="7">
        <v>625000</v>
      </c>
      <c r="D11" s="4">
        <v>15</v>
      </c>
      <c r="E11" s="4">
        <v>120</v>
      </c>
      <c r="F11" s="5" t="s">
        <v>61</v>
      </c>
      <c r="I11"/>
      <c r="J11"/>
    </row>
    <row r="12" spans="1:10">
      <c r="A12" s="2" t="s">
        <v>22</v>
      </c>
      <c r="B12" s="2" t="s">
        <v>23</v>
      </c>
      <c r="C12" s="7">
        <v>270000</v>
      </c>
      <c r="D12" s="4">
        <v>15</v>
      </c>
      <c r="E12" s="4">
        <v>120</v>
      </c>
      <c r="F12" s="5" t="s">
        <v>61</v>
      </c>
      <c r="I12"/>
      <c r="J12"/>
    </row>
    <row r="13" spans="1:10">
      <c r="A13" s="2" t="s">
        <v>24</v>
      </c>
      <c r="B13" s="2" t="s">
        <v>25</v>
      </c>
      <c r="C13" s="7">
        <v>625000</v>
      </c>
      <c r="D13" s="4">
        <v>15</v>
      </c>
      <c r="E13" s="4">
        <v>120</v>
      </c>
      <c r="F13" s="5" t="s">
        <v>61</v>
      </c>
      <c r="I13"/>
      <c r="J13"/>
    </row>
    <row r="14" spans="1:10">
      <c r="A14" s="2" t="s">
        <v>26</v>
      </c>
      <c r="B14" s="2" t="s">
        <v>27</v>
      </c>
      <c r="C14" s="7">
        <v>285000</v>
      </c>
      <c r="D14" s="4">
        <v>15</v>
      </c>
      <c r="E14" s="4">
        <v>120</v>
      </c>
      <c r="F14" s="5" t="s">
        <v>61</v>
      </c>
      <c r="I14"/>
      <c r="J14"/>
    </row>
    <row r="15" spans="1:10">
      <c r="A15" s="2" t="s">
        <v>28</v>
      </c>
      <c r="B15" s="2" t="s">
        <v>29</v>
      </c>
      <c r="C15" s="7">
        <v>500000</v>
      </c>
      <c r="D15" s="4">
        <v>15</v>
      </c>
      <c r="E15" s="4">
        <v>120</v>
      </c>
      <c r="F15" s="5" t="s">
        <v>61</v>
      </c>
      <c r="I15"/>
      <c r="J15"/>
    </row>
    <row r="16" spans="1:10">
      <c r="A16" s="2" t="s">
        <v>30</v>
      </c>
      <c r="B16" s="2" t="s">
        <v>31</v>
      </c>
      <c r="C16" s="7">
        <v>850000</v>
      </c>
      <c r="D16" s="4">
        <v>15</v>
      </c>
      <c r="E16" s="4">
        <v>120</v>
      </c>
      <c r="F16" s="5" t="s">
        <v>61</v>
      </c>
      <c r="I16"/>
      <c r="J16"/>
    </row>
    <row r="17" spans="1:10">
      <c r="A17" s="2" t="s">
        <v>32</v>
      </c>
      <c r="B17" s="2" t="s">
        <v>33</v>
      </c>
      <c r="C17" s="7">
        <v>27500.04</v>
      </c>
      <c r="D17" s="4">
        <v>0</v>
      </c>
      <c r="E17" s="4">
        <v>0</v>
      </c>
      <c r="F17" s="5" t="s">
        <v>61</v>
      </c>
      <c r="I17"/>
      <c r="J17"/>
    </row>
    <row r="18" spans="1:10">
      <c r="A18" s="2" t="s">
        <v>34</v>
      </c>
      <c r="B18" s="2" t="s">
        <v>35</v>
      </c>
      <c r="C18" s="7">
        <v>700000</v>
      </c>
      <c r="D18" s="4">
        <v>15</v>
      </c>
      <c r="E18" s="4">
        <v>120</v>
      </c>
      <c r="F18" s="5" t="s">
        <v>61</v>
      </c>
      <c r="I18"/>
      <c r="J18"/>
    </row>
    <row r="19" spans="1:10">
      <c r="A19" s="2" t="s">
        <v>36</v>
      </c>
      <c r="B19" s="2" t="s">
        <v>37</v>
      </c>
      <c r="C19" s="7">
        <v>275000</v>
      </c>
      <c r="D19" s="4">
        <v>15</v>
      </c>
      <c r="E19" s="4">
        <v>120</v>
      </c>
      <c r="F19" s="5" t="s">
        <v>61</v>
      </c>
      <c r="I19"/>
      <c r="J19"/>
    </row>
    <row r="20" spans="1:10">
      <c r="A20" s="2" t="s">
        <v>38</v>
      </c>
      <c r="B20" s="2" t="s">
        <v>39</v>
      </c>
      <c r="C20" s="7">
        <v>400000</v>
      </c>
      <c r="D20" s="4">
        <v>15</v>
      </c>
      <c r="E20" s="4">
        <v>120</v>
      </c>
      <c r="F20" s="5" t="s">
        <v>61</v>
      </c>
      <c r="I20"/>
      <c r="J20"/>
    </row>
    <row r="21" spans="1:10">
      <c r="A21" s="2" t="s">
        <v>40</v>
      </c>
      <c r="B21" s="2" t="s">
        <v>41</v>
      </c>
      <c r="C21" s="7">
        <v>450000</v>
      </c>
      <c r="D21" s="4">
        <v>15</v>
      </c>
      <c r="E21" s="4">
        <v>120</v>
      </c>
      <c r="F21" s="5" t="s">
        <v>61</v>
      </c>
      <c r="I21"/>
      <c r="J21"/>
    </row>
    <row r="22" spans="1:10">
      <c r="A22" s="2" t="s">
        <v>42</v>
      </c>
      <c r="B22" s="2" t="s">
        <v>43</v>
      </c>
      <c r="C22" s="7">
        <v>300000</v>
      </c>
      <c r="D22" s="4">
        <v>15</v>
      </c>
      <c r="E22" s="4">
        <v>120</v>
      </c>
      <c r="F22" s="5" t="s">
        <v>61</v>
      </c>
      <c r="I22"/>
      <c r="J22"/>
    </row>
    <row r="23" spans="1:10">
      <c r="A23" s="2" t="s">
        <v>44</v>
      </c>
      <c r="B23" s="2" t="s">
        <v>45</v>
      </c>
      <c r="C23" s="7">
        <v>361325</v>
      </c>
      <c r="D23" s="4">
        <v>15</v>
      </c>
      <c r="E23" s="4">
        <v>120</v>
      </c>
      <c r="F23" s="5" t="s">
        <v>61</v>
      </c>
      <c r="I23"/>
      <c r="J23"/>
    </row>
    <row r="24" spans="1:10">
      <c r="A24" s="2" t="s">
        <v>46</v>
      </c>
      <c r="B24" s="2" t="s">
        <v>47</v>
      </c>
      <c r="C24" s="7">
        <v>360000</v>
      </c>
      <c r="D24" s="4">
        <v>15</v>
      </c>
      <c r="E24" s="4">
        <v>120</v>
      </c>
      <c r="F24" s="5" t="s">
        <v>61</v>
      </c>
      <c r="I24"/>
      <c r="J24"/>
    </row>
    <row r="25" spans="1:10">
      <c r="A25" s="2" t="s">
        <v>48</v>
      </c>
      <c r="B25" s="2" t="s">
        <v>49</v>
      </c>
      <c r="C25" s="7">
        <v>415086.5</v>
      </c>
      <c r="D25" s="4">
        <v>15</v>
      </c>
      <c r="E25" s="4">
        <v>120</v>
      </c>
      <c r="F25" s="5" t="s">
        <v>61</v>
      </c>
      <c r="I25"/>
      <c r="J25"/>
    </row>
    <row r="26" spans="1:10">
      <c r="A26" s="2" t="s">
        <v>50</v>
      </c>
      <c r="B26" s="2" t="s">
        <v>51</v>
      </c>
      <c r="C26" s="7">
        <v>170000</v>
      </c>
      <c r="D26" s="4">
        <v>10</v>
      </c>
      <c r="E26" s="4">
        <v>80</v>
      </c>
      <c r="F26" s="5" t="s">
        <v>61</v>
      </c>
      <c r="I26"/>
      <c r="J26"/>
    </row>
    <row r="27" spans="1:10">
      <c r="A27" s="2" t="s">
        <v>52</v>
      </c>
      <c r="B27" s="2" t="s">
        <v>53</v>
      </c>
      <c r="C27" s="7">
        <v>625000</v>
      </c>
      <c r="D27" s="4">
        <v>15</v>
      </c>
      <c r="E27" s="4">
        <v>120</v>
      </c>
      <c r="F27" s="5" t="s">
        <v>61</v>
      </c>
      <c r="I27"/>
      <c r="J27"/>
    </row>
    <row r="28" spans="1:10">
      <c r="A28" s="2" t="s">
        <v>54</v>
      </c>
      <c r="B28" s="2" t="s">
        <v>55</v>
      </c>
      <c r="C28" s="7">
        <v>872047</v>
      </c>
      <c r="D28" s="4">
        <v>15</v>
      </c>
      <c r="E28" s="4">
        <v>120</v>
      </c>
      <c r="F28" s="5" t="s">
        <v>61</v>
      </c>
      <c r="I28"/>
      <c r="J28"/>
    </row>
    <row r="29" spans="1:10">
      <c r="A29" s="2" t="s">
        <v>56</v>
      </c>
      <c r="B29" s="2" t="s">
        <v>57</v>
      </c>
      <c r="C29" s="7">
        <v>450000</v>
      </c>
      <c r="D29" s="4">
        <v>15</v>
      </c>
      <c r="E29" s="4">
        <v>120</v>
      </c>
      <c r="F29" s="5" t="s">
        <v>61</v>
      </c>
      <c r="I29"/>
      <c r="J29"/>
    </row>
    <row r="30" spans="1:10">
      <c r="A30" t="s">
        <v>2</v>
      </c>
      <c r="B30" s="12" t="s">
        <v>3</v>
      </c>
      <c r="C30" s="8">
        <v>375000</v>
      </c>
      <c r="D30" s="4">
        <v>15</v>
      </c>
      <c r="E30" s="4">
        <v>120</v>
      </c>
      <c r="F30" s="5" t="s">
        <v>65</v>
      </c>
      <c r="I30"/>
      <c r="J30"/>
    </row>
    <row r="31" spans="1:10">
      <c r="A31" t="s">
        <v>6</v>
      </c>
      <c r="B31" s="12" t="s">
        <v>7</v>
      </c>
      <c r="C31" s="8">
        <v>255000</v>
      </c>
      <c r="D31" s="4">
        <v>15</v>
      </c>
      <c r="E31" s="4">
        <v>120</v>
      </c>
      <c r="F31" s="5" t="s">
        <v>65</v>
      </c>
      <c r="I31"/>
      <c r="J31"/>
    </row>
    <row r="32" spans="1:10">
      <c r="A32" t="s">
        <v>8</v>
      </c>
      <c r="B32" s="12" t="s">
        <v>9</v>
      </c>
      <c r="C32" s="8">
        <v>300000</v>
      </c>
      <c r="D32" s="4">
        <v>15</v>
      </c>
      <c r="E32" s="4">
        <v>120</v>
      </c>
      <c r="F32" s="5" t="s">
        <v>65</v>
      </c>
      <c r="I32"/>
      <c r="J32"/>
    </row>
    <row r="33" spans="1:10">
      <c r="A33" t="s">
        <v>10</v>
      </c>
      <c r="B33" s="12" t="s">
        <v>11</v>
      </c>
      <c r="C33" s="8">
        <v>650000.00000000012</v>
      </c>
      <c r="D33" s="4">
        <v>15</v>
      </c>
      <c r="E33" s="4">
        <v>120</v>
      </c>
      <c r="F33" s="5" t="s">
        <v>65</v>
      </c>
      <c r="I33"/>
      <c r="J33"/>
    </row>
    <row r="34" spans="1:10">
      <c r="A34" t="s">
        <v>12</v>
      </c>
      <c r="B34" s="12" t="s">
        <v>13</v>
      </c>
      <c r="C34" s="8">
        <v>250000</v>
      </c>
      <c r="D34" s="4">
        <v>15</v>
      </c>
      <c r="E34" s="4">
        <v>120</v>
      </c>
      <c r="F34" s="5" t="s">
        <v>65</v>
      </c>
      <c r="I34"/>
      <c r="J34"/>
    </row>
    <row r="35" spans="1:10">
      <c r="A35" t="s">
        <v>16</v>
      </c>
      <c r="B35" s="12" t="s">
        <v>17</v>
      </c>
      <c r="C35" s="8">
        <v>625000.00000000012</v>
      </c>
      <c r="D35" s="4">
        <v>15</v>
      </c>
      <c r="E35" s="4">
        <v>120</v>
      </c>
      <c r="F35" s="5" t="s">
        <v>65</v>
      </c>
      <c r="I35"/>
      <c r="J35"/>
    </row>
    <row r="36" spans="1:10">
      <c r="A36" t="s">
        <v>18</v>
      </c>
      <c r="B36" s="12" t="s">
        <v>19</v>
      </c>
      <c r="C36" s="8">
        <v>69134.55</v>
      </c>
      <c r="D36" s="4">
        <v>15</v>
      </c>
      <c r="E36" s="4">
        <v>120</v>
      </c>
      <c r="F36" s="5" t="s">
        <v>65</v>
      </c>
      <c r="I36"/>
      <c r="J36"/>
    </row>
    <row r="37" spans="1:10">
      <c r="A37" t="s">
        <v>20</v>
      </c>
      <c r="B37" s="12" t="s">
        <v>21</v>
      </c>
      <c r="C37" s="8">
        <v>625000.00000000012</v>
      </c>
      <c r="D37" s="4">
        <v>15</v>
      </c>
      <c r="E37" s="4">
        <v>120</v>
      </c>
      <c r="F37" s="5" t="s">
        <v>65</v>
      </c>
      <c r="I37"/>
      <c r="J37"/>
    </row>
    <row r="38" spans="1:10">
      <c r="A38" t="s">
        <v>14</v>
      </c>
      <c r="B38" s="12" t="s">
        <v>15</v>
      </c>
      <c r="C38" s="8">
        <v>201802.75000000003</v>
      </c>
      <c r="D38" s="4">
        <v>15</v>
      </c>
      <c r="E38" s="4">
        <v>120</v>
      </c>
      <c r="F38" s="5" t="s">
        <v>65</v>
      </c>
      <c r="I38"/>
      <c r="J38"/>
    </row>
    <row r="39" spans="1:10">
      <c r="A39" t="s">
        <v>22</v>
      </c>
      <c r="B39" s="12" t="s">
        <v>23</v>
      </c>
      <c r="C39" s="8">
        <v>225000</v>
      </c>
      <c r="D39" s="4">
        <v>15</v>
      </c>
      <c r="E39" s="4">
        <v>120</v>
      </c>
      <c r="F39" s="5" t="s">
        <v>65</v>
      </c>
      <c r="I39"/>
      <c r="J39"/>
    </row>
    <row r="40" spans="1:10">
      <c r="A40" t="s">
        <v>24</v>
      </c>
      <c r="B40" s="12" t="s">
        <v>25</v>
      </c>
      <c r="C40" s="8">
        <v>625000.00000000012</v>
      </c>
      <c r="D40" s="4">
        <v>15</v>
      </c>
      <c r="E40" s="4">
        <v>120</v>
      </c>
      <c r="F40" s="5" t="s">
        <v>65</v>
      </c>
      <c r="I40"/>
      <c r="J40"/>
    </row>
    <row r="41" spans="1:10">
      <c r="A41" t="s">
        <v>26</v>
      </c>
      <c r="B41" s="12" t="s">
        <v>27</v>
      </c>
      <c r="C41" s="8">
        <v>285000</v>
      </c>
      <c r="D41" s="4">
        <v>15</v>
      </c>
      <c r="E41" s="4">
        <v>120</v>
      </c>
      <c r="F41" s="5" t="s">
        <v>65</v>
      </c>
      <c r="I41"/>
      <c r="J41"/>
    </row>
    <row r="42" spans="1:10">
      <c r="A42" t="s">
        <v>30</v>
      </c>
      <c r="B42" s="12" t="s">
        <v>31</v>
      </c>
      <c r="C42" s="8">
        <v>850000</v>
      </c>
      <c r="D42" s="4">
        <v>15</v>
      </c>
      <c r="E42" s="4">
        <v>120</v>
      </c>
      <c r="F42" s="5" t="s">
        <v>65</v>
      </c>
      <c r="I42"/>
      <c r="J42"/>
    </row>
    <row r="43" spans="1:10">
      <c r="A43" t="s">
        <v>32</v>
      </c>
      <c r="B43" s="12" t="s">
        <v>33</v>
      </c>
      <c r="C43" s="8">
        <v>256666.69333333336</v>
      </c>
      <c r="D43" s="4">
        <v>15</v>
      </c>
      <c r="E43" s="4">
        <v>120</v>
      </c>
      <c r="F43" s="5" t="s">
        <v>65</v>
      </c>
      <c r="I43"/>
      <c r="J43"/>
    </row>
    <row r="44" spans="1:10">
      <c r="A44" t="s">
        <v>64</v>
      </c>
      <c r="B44" s="12" t="s">
        <v>63</v>
      </c>
      <c r="C44" s="8">
        <v>750000</v>
      </c>
      <c r="D44" s="4">
        <v>15</v>
      </c>
      <c r="E44" s="4">
        <v>120</v>
      </c>
      <c r="F44" s="5" t="s">
        <v>65</v>
      </c>
      <c r="I44"/>
      <c r="J44"/>
    </row>
    <row r="45" spans="1:10">
      <c r="A45" t="s">
        <v>34</v>
      </c>
      <c r="B45" s="12" t="s">
        <v>35</v>
      </c>
      <c r="C45" s="8">
        <v>700000</v>
      </c>
      <c r="D45" s="4">
        <v>15</v>
      </c>
      <c r="E45" s="4">
        <v>120</v>
      </c>
      <c r="F45" s="5" t="s">
        <v>65</v>
      </c>
      <c r="I45"/>
      <c r="J45"/>
    </row>
    <row r="46" spans="1:10">
      <c r="A46" t="s">
        <v>36</v>
      </c>
      <c r="B46" s="12" t="s">
        <v>37</v>
      </c>
      <c r="C46" s="8">
        <v>275000.00000000006</v>
      </c>
      <c r="D46" s="4">
        <v>15</v>
      </c>
      <c r="E46" s="4">
        <v>120</v>
      </c>
      <c r="F46" s="5" t="s">
        <v>65</v>
      </c>
      <c r="I46"/>
      <c r="J46"/>
    </row>
    <row r="47" spans="1:10">
      <c r="A47" t="s">
        <v>38</v>
      </c>
      <c r="B47" s="12" t="s">
        <v>39</v>
      </c>
      <c r="C47" s="8">
        <v>400000</v>
      </c>
      <c r="D47" s="4">
        <v>15</v>
      </c>
      <c r="E47" s="4">
        <v>120</v>
      </c>
      <c r="F47" s="5" t="s">
        <v>65</v>
      </c>
      <c r="I47"/>
      <c r="J47"/>
    </row>
    <row r="48" spans="1:10">
      <c r="A48" t="s">
        <v>40</v>
      </c>
      <c r="B48" s="12" t="s">
        <v>41</v>
      </c>
      <c r="C48" s="8">
        <v>450000</v>
      </c>
      <c r="D48" s="4">
        <v>15</v>
      </c>
      <c r="E48" s="4">
        <v>120</v>
      </c>
      <c r="F48" s="5" t="s">
        <v>65</v>
      </c>
      <c r="I48"/>
      <c r="J48"/>
    </row>
    <row r="49" spans="1:10">
      <c r="A49" t="s">
        <v>42</v>
      </c>
      <c r="B49" s="12" t="s">
        <v>43</v>
      </c>
      <c r="C49" s="8">
        <v>300000</v>
      </c>
      <c r="D49" s="4">
        <v>15</v>
      </c>
      <c r="E49" s="4">
        <v>120</v>
      </c>
      <c r="F49" s="5" t="s">
        <v>65</v>
      </c>
      <c r="I49"/>
      <c r="J49"/>
    </row>
    <row r="50" spans="1:10">
      <c r="A50" t="s">
        <v>44</v>
      </c>
      <c r="B50" s="12" t="s">
        <v>45</v>
      </c>
      <c r="C50" s="8">
        <v>361325</v>
      </c>
      <c r="D50" s="4">
        <v>15</v>
      </c>
      <c r="E50" s="4">
        <v>120</v>
      </c>
      <c r="F50" s="5" t="s">
        <v>65</v>
      </c>
      <c r="I50"/>
      <c r="J50"/>
    </row>
    <row r="51" spans="1:10">
      <c r="A51" t="s">
        <v>46</v>
      </c>
      <c r="B51" s="12" t="s">
        <v>47</v>
      </c>
      <c r="C51" s="8">
        <v>360000</v>
      </c>
      <c r="D51" s="4">
        <v>15</v>
      </c>
      <c r="E51" s="4">
        <v>120</v>
      </c>
      <c r="F51" s="5" t="s">
        <v>65</v>
      </c>
      <c r="I51"/>
      <c r="J51"/>
    </row>
    <row r="52" spans="1:10">
      <c r="A52" t="s">
        <v>48</v>
      </c>
      <c r="B52" s="12" t="s">
        <v>49</v>
      </c>
      <c r="C52" s="8">
        <v>415086.5</v>
      </c>
      <c r="D52" s="4">
        <v>15</v>
      </c>
      <c r="E52" s="4">
        <v>120</v>
      </c>
      <c r="F52" s="5" t="s">
        <v>65</v>
      </c>
      <c r="I52"/>
      <c r="J52"/>
    </row>
    <row r="53" spans="1:10">
      <c r="A53" t="s">
        <v>52</v>
      </c>
      <c r="B53" s="12" t="s">
        <v>53</v>
      </c>
      <c r="C53" s="8">
        <v>625000.00000000012</v>
      </c>
      <c r="D53" s="4">
        <v>15</v>
      </c>
      <c r="E53" s="4">
        <v>120</v>
      </c>
      <c r="F53" s="5" t="s">
        <v>65</v>
      </c>
      <c r="I53"/>
      <c r="J53"/>
    </row>
    <row r="54" spans="1:10">
      <c r="A54" t="s">
        <v>54</v>
      </c>
      <c r="B54" s="12" t="s">
        <v>55</v>
      </c>
      <c r="C54" s="8">
        <v>872047</v>
      </c>
      <c r="D54" s="4">
        <v>15</v>
      </c>
      <c r="E54" s="4">
        <v>120</v>
      </c>
      <c r="F54" s="5" t="s">
        <v>65</v>
      </c>
      <c r="I54"/>
      <c r="J54"/>
    </row>
    <row r="55" spans="1:10">
      <c r="A55" t="s">
        <v>56</v>
      </c>
      <c r="B55" s="12" t="s">
        <v>57</v>
      </c>
      <c r="C55" s="8">
        <v>450000</v>
      </c>
      <c r="D55" s="4">
        <v>15</v>
      </c>
      <c r="E55" s="4">
        <v>120</v>
      </c>
      <c r="F55" s="5" t="s">
        <v>65</v>
      </c>
      <c r="I55"/>
      <c r="J55"/>
    </row>
    <row r="56" spans="1:10">
      <c r="A56" s="9" t="s">
        <v>67</v>
      </c>
      <c r="B56" s="13" t="s">
        <v>66</v>
      </c>
      <c r="C56" s="8">
        <v>421200</v>
      </c>
      <c r="D56" s="17">
        <f>E56/8</f>
        <v>14.625</v>
      </c>
      <c r="E56" s="15">
        <v>117</v>
      </c>
      <c r="F56" s="5" t="s">
        <v>61</v>
      </c>
      <c r="I56"/>
      <c r="J56"/>
    </row>
    <row r="57" spans="1:10">
      <c r="A57" s="9" t="s">
        <v>137</v>
      </c>
      <c r="B57" s="13" t="s">
        <v>68</v>
      </c>
      <c r="C57" s="8">
        <v>143850</v>
      </c>
      <c r="D57" s="17">
        <f t="shared" ref="D57:D120" si="0">E57/8</f>
        <v>8.5625</v>
      </c>
      <c r="E57" s="15">
        <v>68.5</v>
      </c>
      <c r="F57" s="5" t="s">
        <v>61</v>
      </c>
      <c r="I57"/>
      <c r="J57"/>
    </row>
    <row r="58" spans="1:10">
      <c r="A58" s="9" t="s">
        <v>70</v>
      </c>
      <c r="B58" s="13" t="s">
        <v>69</v>
      </c>
      <c r="C58" s="8">
        <v>230400</v>
      </c>
      <c r="D58" s="17">
        <f t="shared" si="0"/>
        <v>12</v>
      </c>
      <c r="E58" s="15">
        <v>96</v>
      </c>
      <c r="F58" s="5" t="s">
        <v>61</v>
      </c>
      <c r="I58"/>
      <c r="J58"/>
    </row>
    <row r="59" spans="1:10">
      <c r="A59" s="9" t="s">
        <v>72</v>
      </c>
      <c r="B59" s="13" t="s">
        <v>71</v>
      </c>
      <c r="C59" s="8">
        <v>8500</v>
      </c>
      <c r="D59" s="17">
        <f t="shared" si="0"/>
        <v>0.625</v>
      </c>
      <c r="E59" s="15">
        <v>5</v>
      </c>
      <c r="F59" s="5" t="s">
        <v>61</v>
      </c>
      <c r="I59"/>
      <c r="J59"/>
    </row>
    <row r="60" spans="1:10">
      <c r="A60" s="9" t="s">
        <v>74</v>
      </c>
      <c r="B60" s="13" t="s">
        <v>73</v>
      </c>
      <c r="C60" s="8">
        <v>10200</v>
      </c>
      <c r="D60" s="17">
        <f t="shared" si="0"/>
        <v>0.75</v>
      </c>
      <c r="E60" s="15">
        <v>6</v>
      </c>
      <c r="F60" s="5" t="s">
        <v>61</v>
      </c>
      <c r="I60"/>
      <c r="J60"/>
    </row>
    <row r="61" spans="1:10">
      <c r="A61" s="9" t="s">
        <v>76</v>
      </c>
      <c r="B61" s="13" t="s">
        <v>75</v>
      </c>
      <c r="C61" s="8">
        <v>222300</v>
      </c>
      <c r="D61" s="17">
        <f t="shared" si="0"/>
        <v>14.625</v>
      </c>
      <c r="E61" s="15">
        <v>117</v>
      </c>
      <c r="F61" s="5" t="s">
        <v>61</v>
      </c>
      <c r="I61"/>
      <c r="J61"/>
    </row>
    <row r="62" spans="1:10">
      <c r="A62" s="9" t="s">
        <v>78</v>
      </c>
      <c r="B62" s="13" t="s">
        <v>77</v>
      </c>
      <c r="C62" s="8">
        <v>222300</v>
      </c>
      <c r="D62" s="17">
        <f t="shared" si="0"/>
        <v>14.625</v>
      </c>
      <c r="E62" s="15">
        <v>117</v>
      </c>
      <c r="F62" s="5" t="s">
        <v>61</v>
      </c>
      <c r="I62"/>
      <c r="J62"/>
    </row>
    <row r="63" spans="1:10">
      <c r="A63" s="9" t="s">
        <v>80</v>
      </c>
      <c r="B63" s="13" t="s">
        <v>79</v>
      </c>
      <c r="C63" s="8">
        <v>269100</v>
      </c>
      <c r="D63" s="17">
        <f t="shared" si="0"/>
        <v>14.625</v>
      </c>
      <c r="E63" s="15">
        <v>117</v>
      </c>
      <c r="F63" s="5" t="s">
        <v>61</v>
      </c>
      <c r="I63"/>
      <c r="J63"/>
    </row>
    <row r="64" spans="1:10">
      <c r="A64" s="10" t="s">
        <v>82</v>
      </c>
      <c r="B64" s="14" t="s">
        <v>81</v>
      </c>
      <c r="C64" s="8">
        <v>164475</v>
      </c>
      <c r="D64" s="17">
        <f t="shared" si="0"/>
        <v>12.09375</v>
      </c>
      <c r="E64" s="16">
        <v>96.75</v>
      </c>
      <c r="F64" s="5" t="s">
        <v>61</v>
      </c>
      <c r="I64"/>
      <c r="J64"/>
    </row>
    <row r="65" spans="1:10">
      <c r="A65" s="10" t="s">
        <v>84</v>
      </c>
      <c r="B65" s="14" t="s">
        <v>83</v>
      </c>
      <c r="C65" s="8">
        <v>293400</v>
      </c>
      <c r="D65" s="17">
        <f t="shared" si="0"/>
        <v>15.28125</v>
      </c>
      <c r="E65" s="16">
        <v>122.25</v>
      </c>
      <c r="F65" s="5" t="s">
        <v>61</v>
      </c>
      <c r="I65"/>
      <c r="J65"/>
    </row>
    <row r="66" spans="1:10">
      <c r="A66" s="10" t="s">
        <v>86</v>
      </c>
      <c r="B66" s="14" t="s">
        <v>85</v>
      </c>
      <c r="C66" s="8">
        <v>182325</v>
      </c>
      <c r="D66" s="17">
        <f t="shared" si="0"/>
        <v>13.40625</v>
      </c>
      <c r="E66" s="16">
        <v>107.25</v>
      </c>
      <c r="F66" s="5" t="s">
        <v>61</v>
      </c>
      <c r="I66"/>
      <c r="J66"/>
    </row>
    <row r="67" spans="1:10">
      <c r="A67" s="10" t="s">
        <v>88</v>
      </c>
      <c r="B67" s="14" t="s">
        <v>87</v>
      </c>
      <c r="C67" s="8">
        <v>264600</v>
      </c>
      <c r="D67" s="17">
        <f t="shared" si="0"/>
        <v>13.78125</v>
      </c>
      <c r="E67" s="16">
        <v>110.25</v>
      </c>
      <c r="F67" s="5" t="s">
        <v>61</v>
      </c>
      <c r="I67"/>
      <c r="J67"/>
    </row>
    <row r="68" spans="1:10">
      <c r="A68" s="10" t="s">
        <v>90</v>
      </c>
      <c r="B68" s="14" t="s">
        <v>89</v>
      </c>
      <c r="C68" s="8">
        <v>165600</v>
      </c>
      <c r="D68" s="17">
        <f t="shared" si="0"/>
        <v>11.5</v>
      </c>
      <c r="E68" s="16">
        <v>92</v>
      </c>
      <c r="F68" s="5" t="s">
        <v>61</v>
      </c>
      <c r="I68"/>
      <c r="J68"/>
    </row>
    <row r="69" spans="1:10">
      <c r="A69" s="10" t="s">
        <v>92</v>
      </c>
      <c r="B69" s="14" t="s">
        <v>91</v>
      </c>
      <c r="C69" s="8">
        <v>202500</v>
      </c>
      <c r="D69" s="17">
        <f t="shared" si="0"/>
        <v>14.0625</v>
      </c>
      <c r="E69" s="16">
        <v>112.5</v>
      </c>
      <c r="F69" s="5" t="s">
        <v>61</v>
      </c>
      <c r="I69"/>
      <c r="J69"/>
    </row>
    <row r="70" spans="1:10">
      <c r="A70" s="10" t="s">
        <v>94</v>
      </c>
      <c r="B70" s="14" t="s">
        <v>93</v>
      </c>
      <c r="C70" s="8">
        <v>187425</v>
      </c>
      <c r="D70" s="17">
        <f t="shared" si="0"/>
        <v>13.78125</v>
      </c>
      <c r="E70" s="16">
        <v>110.25</v>
      </c>
      <c r="F70" s="5" t="s">
        <v>61</v>
      </c>
      <c r="I70"/>
      <c r="J70"/>
    </row>
    <row r="71" spans="1:10">
      <c r="A71" s="10" t="s">
        <v>96</v>
      </c>
      <c r="B71" s="14" t="s">
        <v>95</v>
      </c>
      <c r="C71" s="8">
        <v>190800</v>
      </c>
      <c r="D71" s="17">
        <f t="shared" si="0"/>
        <v>13.25</v>
      </c>
      <c r="E71" s="16">
        <v>106</v>
      </c>
      <c r="F71" s="5" t="s">
        <v>61</v>
      </c>
      <c r="I71"/>
      <c r="J71"/>
    </row>
    <row r="72" spans="1:10">
      <c r="A72" s="10" t="s">
        <v>98</v>
      </c>
      <c r="B72" s="14" t="s">
        <v>97</v>
      </c>
      <c r="C72" s="8">
        <v>222525</v>
      </c>
      <c r="D72" s="17">
        <f t="shared" si="0"/>
        <v>12.09375</v>
      </c>
      <c r="E72" s="16">
        <v>96.75</v>
      </c>
      <c r="F72" s="5" t="s">
        <v>61</v>
      </c>
      <c r="I72"/>
      <c r="J72"/>
    </row>
    <row r="73" spans="1:10">
      <c r="A73" s="10" t="s">
        <v>100</v>
      </c>
      <c r="B73" s="14" t="s">
        <v>99</v>
      </c>
      <c r="C73" s="8">
        <v>236400</v>
      </c>
      <c r="D73" s="17">
        <f t="shared" si="0"/>
        <v>12.3125</v>
      </c>
      <c r="E73" s="16">
        <v>98.5</v>
      </c>
      <c r="F73" s="5" t="s">
        <v>61</v>
      </c>
      <c r="I73"/>
      <c r="J73"/>
    </row>
    <row r="74" spans="1:10">
      <c r="A74" s="10" t="s">
        <v>102</v>
      </c>
      <c r="B74" s="14" t="s">
        <v>101</v>
      </c>
      <c r="C74" s="8">
        <v>180000</v>
      </c>
      <c r="D74" s="17">
        <f t="shared" si="0"/>
        <v>12.5</v>
      </c>
      <c r="E74" s="16">
        <v>100</v>
      </c>
      <c r="F74" s="5" t="s">
        <v>61</v>
      </c>
      <c r="I74"/>
      <c r="J74"/>
    </row>
    <row r="75" spans="1:10">
      <c r="A75" s="10" t="s">
        <v>104</v>
      </c>
      <c r="B75" s="14" t="s">
        <v>103</v>
      </c>
      <c r="C75" s="8">
        <v>184800</v>
      </c>
      <c r="D75" s="17">
        <f t="shared" si="0"/>
        <v>9.625</v>
      </c>
      <c r="E75" s="16">
        <v>77</v>
      </c>
      <c r="F75" s="5" t="s">
        <v>61</v>
      </c>
      <c r="I75"/>
      <c r="J75"/>
    </row>
    <row r="76" spans="1:10">
      <c r="A76" s="10" t="s">
        <v>106</v>
      </c>
      <c r="B76" s="14" t="s">
        <v>105</v>
      </c>
      <c r="C76" s="8">
        <v>187200</v>
      </c>
      <c r="D76" s="17">
        <f t="shared" si="0"/>
        <v>9.75</v>
      </c>
      <c r="E76" s="16">
        <v>78</v>
      </c>
      <c r="F76" s="5" t="s">
        <v>61</v>
      </c>
      <c r="I76"/>
      <c r="J76"/>
    </row>
    <row r="77" spans="1:10">
      <c r="A77" s="10" t="s">
        <v>107</v>
      </c>
      <c r="B77" s="12" t="s">
        <v>133</v>
      </c>
      <c r="C77" s="8">
        <v>236325</v>
      </c>
      <c r="D77" s="17">
        <f t="shared" si="0"/>
        <v>12.84375</v>
      </c>
      <c r="E77" s="16">
        <v>102.75</v>
      </c>
      <c r="F77" s="5" t="s">
        <v>61</v>
      </c>
      <c r="I77"/>
      <c r="J77"/>
    </row>
    <row r="78" spans="1:10">
      <c r="A78" s="10" t="s">
        <v>109</v>
      </c>
      <c r="B78" s="14" t="s">
        <v>108</v>
      </c>
      <c r="C78" s="8">
        <v>108000</v>
      </c>
      <c r="D78" s="17">
        <f t="shared" si="0"/>
        <v>5.625</v>
      </c>
      <c r="E78" s="16">
        <v>45</v>
      </c>
      <c r="F78" s="5" t="s">
        <v>61</v>
      </c>
      <c r="I78"/>
      <c r="J78"/>
    </row>
    <row r="79" spans="1:10">
      <c r="A79" s="10" t="s">
        <v>111</v>
      </c>
      <c r="B79" s="14" t="s">
        <v>110</v>
      </c>
      <c r="C79" s="8">
        <v>192100</v>
      </c>
      <c r="D79" s="17">
        <f t="shared" si="0"/>
        <v>14.125</v>
      </c>
      <c r="E79" s="16">
        <v>113</v>
      </c>
      <c r="F79" s="5" t="s">
        <v>61</v>
      </c>
      <c r="I79"/>
      <c r="J79"/>
    </row>
    <row r="80" spans="1:10">
      <c r="A80" s="10" t="s">
        <v>113</v>
      </c>
      <c r="B80" s="14" t="s">
        <v>112</v>
      </c>
      <c r="C80" s="8">
        <v>205200</v>
      </c>
      <c r="D80" s="17">
        <f t="shared" si="0"/>
        <v>14.25</v>
      </c>
      <c r="E80" s="16">
        <v>114</v>
      </c>
      <c r="F80" s="5" t="s">
        <v>61</v>
      </c>
      <c r="I80"/>
      <c r="J80"/>
    </row>
    <row r="81" spans="1:10">
      <c r="A81" s="10" t="s">
        <v>115</v>
      </c>
      <c r="B81" s="14" t="s">
        <v>114</v>
      </c>
      <c r="C81" s="8">
        <v>247925</v>
      </c>
      <c r="D81" s="17">
        <f t="shared" si="0"/>
        <v>12.1875</v>
      </c>
      <c r="E81" s="16">
        <v>97.5</v>
      </c>
      <c r="F81" s="5" t="s">
        <v>61</v>
      </c>
      <c r="I81"/>
      <c r="J81"/>
    </row>
    <row r="82" spans="1:10">
      <c r="A82" s="10" t="s">
        <v>117</v>
      </c>
      <c r="B82" s="14" t="s">
        <v>116</v>
      </c>
      <c r="C82" s="8">
        <v>258300</v>
      </c>
      <c r="D82" s="17">
        <f t="shared" si="0"/>
        <v>15.375</v>
      </c>
      <c r="E82" s="16">
        <v>123</v>
      </c>
      <c r="F82" s="5" t="s">
        <v>61</v>
      </c>
      <c r="I82"/>
      <c r="J82"/>
    </row>
    <row r="83" spans="1:10">
      <c r="A83" s="10" t="s">
        <v>119</v>
      </c>
      <c r="B83" s="14" t="s">
        <v>118</v>
      </c>
      <c r="C83" s="8">
        <v>246675</v>
      </c>
      <c r="D83" s="17">
        <f t="shared" si="0"/>
        <v>13.40625</v>
      </c>
      <c r="E83" s="16">
        <v>107.25</v>
      </c>
      <c r="F83" s="5" t="s">
        <v>61</v>
      </c>
      <c r="I83"/>
      <c r="J83"/>
    </row>
    <row r="84" spans="1:10">
      <c r="A84" s="10" t="s">
        <v>121</v>
      </c>
      <c r="B84" s="14" t="s">
        <v>120</v>
      </c>
      <c r="C84" s="8">
        <v>216000</v>
      </c>
      <c r="D84" s="17">
        <f t="shared" si="0"/>
        <v>15</v>
      </c>
      <c r="E84" s="16">
        <v>120</v>
      </c>
      <c r="F84" s="5" t="s">
        <v>61</v>
      </c>
      <c r="I84"/>
      <c r="J84"/>
    </row>
    <row r="85" spans="1:10">
      <c r="A85" s="10" t="s">
        <v>123</v>
      </c>
      <c r="B85" s="14" t="s">
        <v>122</v>
      </c>
      <c r="C85" s="8">
        <v>270600</v>
      </c>
      <c r="D85" s="17">
        <f t="shared" si="0"/>
        <v>15.375</v>
      </c>
      <c r="E85" s="16">
        <v>123</v>
      </c>
      <c r="F85" s="5" t="s">
        <v>61</v>
      </c>
      <c r="I85"/>
      <c r="J85"/>
    </row>
    <row r="86" spans="1:10">
      <c r="A86" s="10" t="s">
        <v>125</v>
      </c>
      <c r="B86" s="14" t="s">
        <v>124</v>
      </c>
      <c r="C86" s="8">
        <v>223387.5</v>
      </c>
      <c r="D86" s="17">
        <f t="shared" si="0"/>
        <v>15.09375</v>
      </c>
      <c r="E86" s="16">
        <v>120.75</v>
      </c>
      <c r="F86" s="5" t="s">
        <v>61</v>
      </c>
      <c r="I86"/>
      <c r="J86"/>
    </row>
    <row r="87" spans="1:10">
      <c r="A87" s="10" t="s">
        <v>127</v>
      </c>
      <c r="B87" s="14" t="s">
        <v>126</v>
      </c>
      <c r="C87" s="8">
        <v>108900</v>
      </c>
      <c r="D87" s="17">
        <f t="shared" si="0"/>
        <v>6.1875</v>
      </c>
      <c r="E87" s="16">
        <v>49.5</v>
      </c>
      <c r="F87" s="5" t="s">
        <v>61</v>
      </c>
      <c r="I87"/>
      <c r="J87"/>
    </row>
    <row r="88" spans="1:10">
      <c r="A88" s="10" t="s">
        <v>129</v>
      </c>
      <c r="B88" s="14" t="s">
        <v>128</v>
      </c>
      <c r="C88" s="8">
        <v>234000</v>
      </c>
      <c r="D88" s="17">
        <f t="shared" si="0"/>
        <v>14.625</v>
      </c>
      <c r="E88" s="16">
        <v>117</v>
      </c>
      <c r="F88" s="5" t="s">
        <v>61</v>
      </c>
      <c r="I88"/>
      <c r="J88"/>
    </row>
    <row r="89" spans="1:10">
      <c r="A89" s="10" t="s">
        <v>131</v>
      </c>
      <c r="B89" s="14" t="s">
        <v>130</v>
      </c>
      <c r="C89" s="8">
        <v>200400</v>
      </c>
      <c r="D89" s="17">
        <f t="shared" si="0"/>
        <v>10.4375</v>
      </c>
      <c r="E89" s="16">
        <v>83.5</v>
      </c>
      <c r="F89" s="5" t="s">
        <v>61</v>
      </c>
      <c r="I89"/>
      <c r="J89"/>
    </row>
    <row r="90" spans="1:10">
      <c r="A90" s="9" t="s">
        <v>135</v>
      </c>
      <c r="B90" s="12" t="s">
        <v>132</v>
      </c>
      <c r="C90" s="8">
        <v>48000</v>
      </c>
      <c r="D90" s="17">
        <f t="shared" si="0"/>
        <v>2.5</v>
      </c>
      <c r="E90" s="15">
        <v>20</v>
      </c>
      <c r="F90" s="5" t="s">
        <v>65</v>
      </c>
      <c r="I90"/>
      <c r="J90"/>
    </row>
    <row r="91" spans="1:10">
      <c r="A91" s="9" t="s">
        <v>82</v>
      </c>
      <c r="B91" s="12" t="s">
        <v>81</v>
      </c>
      <c r="C91" s="8">
        <v>189550</v>
      </c>
      <c r="D91" s="17">
        <f t="shared" si="0"/>
        <v>12.9375</v>
      </c>
      <c r="E91" s="15">
        <v>103.5</v>
      </c>
      <c r="F91" s="5" t="s">
        <v>65</v>
      </c>
      <c r="I91"/>
      <c r="J91"/>
    </row>
    <row r="92" spans="1:10">
      <c r="A92" s="9" t="s">
        <v>84</v>
      </c>
      <c r="B92" s="12" t="s">
        <v>83</v>
      </c>
      <c r="C92" s="8">
        <v>265200</v>
      </c>
      <c r="D92" s="17">
        <f t="shared" si="0"/>
        <v>12.8125</v>
      </c>
      <c r="E92" s="15">
        <v>102.5</v>
      </c>
      <c r="F92" s="5" t="s">
        <v>65</v>
      </c>
      <c r="I92"/>
      <c r="J92"/>
    </row>
    <row r="93" spans="1:10">
      <c r="A93" s="9" t="s">
        <v>86</v>
      </c>
      <c r="B93" s="12" t="s">
        <v>85</v>
      </c>
      <c r="C93" s="8">
        <v>204000</v>
      </c>
      <c r="D93" s="17">
        <f t="shared" si="0"/>
        <v>15</v>
      </c>
      <c r="E93" s="15">
        <v>120</v>
      </c>
      <c r="F93" s="5" t="s">
        <v>65</v>
      </c>
      <c r="I93"/>
      <c r="J93"/>
    </row>
    <row r="94" spans="1:10">
      <c r="A94" s="9" t="s">
        <v>88</v>
      </c>
      <c r="B94" s="12" t="s">
        <v>87</v>
      </c>
      <c r="C94" s="8">
        <v>276000</v>
      </c>
      <c r="D94" s="17">
        <f t="shared" si="0"/>
        <v>13.875</v>
      </c>
      <c r="E94" s="15">
        <v>111</v>
      </c>
      <c r="F94" s="5" t="s">
        <v>65</v>
      </c>
      <c r="I94"/>
      <c r="J94"/>
    </row>
    <row r="95" spans="1:10">
      <c r="A95" s="9" t="s">
        <v>90</v>
      </c>
      <c r="B95" s="12" t="s">
        <v>89</v>
      </c>
      <c r="C95" s="8">
        <v>218700</v>
      </c>
      <c r="D95" s="17">
        <f t="shared" si="0"/>
        <v>15.1875</v>
      </c>
      <c r="E95" s="15">
        <v>121.5</v>
      </c>
      <c r="F95" s="5" t="s">
        <v>65</v>
      </c>
      <c r="I95"/>
      <c r="J95"/>
    </row>
    <row r="96" spans="1:10">
      <c r="A96" s="9" t="s">
        <v>92</v>
      </c>
      <c r="B96" s="12" t="s">
        <v>91</v>
      </c>
      <c r="C96" s="8">
        <v>216000</v>
      </c>
      <c r="D96" s="17">
        <f t="shared" si="0"/>
        <v>15</v>
      </c>
      <c r="E96" s="15">
        <v>120</v>
      </c>
      <c r="F96" s="5" t="s">
        <v>65</v>
      </c>
      <c r="I96"/>
      <c r="J96"/>
    </row>
    <row r="97" spans="1:10">
      <c r="A97" s="9" t="s">
        <v>94</v>
      </c>
      <c r="B97" s="12" t="s">
        <v>93</v>
      </c>
      <c r="C97" s="8">
        <v>204000</v>
      </c>
      <c r="D97" s="17">
        <f t="shared" si="0"/>
        <v>15</v>
      </c>
      <c r="E97" s="15">
        <v>120</v>
      </c>
      <c r="F97" s="5" t="s">
        <v>65</v>
      </c>
      <c r="I97"/>
      <c r="J97"/>
    </row>
    <row r="98" spans="1:10">
      <c r="A98" s="9" t="s">
        <v>72</v>
      </c>
      <c r="B98" s="12" t="s">
        <v>71</v>
      </c>
      <c r="C98" s="8">
        <v>51000</v>
      </c>
      <c r="D98" s="17">
        <f t="shared" si="0"/>
        <v>3.75</v>
      </c>
      <c r="E98" s="15">
        <v>30</v>
      </c>
      <c r="F98" s="5" t="s">
        <v>65</v>
      </c>
      <c r="I98"/>
      <c r="J98"/>
    </row>
    <row r="99" spans="1:10">
      <c r="A99" s="9" t="s">
        <v>96</v>
      </c>
      <c r="B99" s="12" t="s">
        <v>95</v>
      </c>
      <c r="C99" s="8">
        <v>180000</v>
      </c>
      <c r="D99" s="17">
        <f t="shared" si="0"/>
        <v>12.5</v>
      </c>
      <c r="E99" s="15">
        <v>100</v>
      </c>
      <c r="F99" s="5" t="s">
        <v>65</v>
      </c>
      <c r="I99"/>
      <c r="J99"/>
    </row>
    <row r="100" spans="1:10">
      <c r="A100" s="9" t="s">
        <v>98</v>
      </c>
      <c r="B100" s="12" t="s">
        <v>97</v>
      </c>
      <c r="C100" s="8">
        <v>270825</v>
      </c>
      <c r="D100" s="17">
        <f t="shared" si="0"/>
        <v>14.71875</v>
      </c>
      <c r="E100" s="15">
        <v>117.75</v>
      </c>
      <c r="F100" s="5" t="s">
        <v>65</v>
      </c>
      <c r="I100"/>
      <c r="J100"/>
    </row>
    <row r="101" spans="1:10">
      <c r="A101" s="9" t="s">
        <v>100</v>
      </c>
      <c r="B101" s="12" t="s">
        <v>99</v>
      </c>
      <c r="C101" s="8">
        <v>295200</v>
      </c>
      <c r="D101" s="17">
        <f t="shared" si="0"/>
        <v>15.375</v>
      </c>
      <c r="E101" s="15">
        <v>123</v>
      </c>
      <c r="F101" s="5" t="s">
        <v>65</v>
      </c>
      <c r="I101"/>
      <c r="J101"/>
    </row>
    <row r="102" spans="1:10">
      <c r="A102" s="9" t="s">
        <v>102</v>
      </c>
      <c r="B102" s="12" t="s">
        <v>101</v>
      </c>
      <c r="C102" s="8">
        <v>211950</v>
      </c>
      <c r="D102" s="17">
        <f t="shared" si="0"/>
        <v>14.71875</v>
      </c>
      <c r="E102" s="15">
        <v>117.75</v>
      </c>
      <c r="F102" s="5" t="s">
        <v>65</v>
      </c>
      <c r="I102"/>
      <c r="J102"/>
    </row>
    <row r="103" spans="1:10">
      <c r="A103" s="9" t="s">
        <v>104</v>
      </c>
      <c r="B103" s="12" t="s">
        <v>103</v>
      </c>
      <c r="C103" s="8">
        <v>204600</v>
      </c>
      <c r="D103" s="17">
        <f t="shared" si="0"/>
        <v>10.65625</v>
      </c>
      <c r="E103" s="15">
        <v>85.25</v>
      </c>
      <c r="F103" s="5" t="s">
        <v>65</v>
      </c>
      <c r="I103"/>
      <c r="J103"/>
    </row>
    <row r="104" spans="1:10">
      <c r="A104" s="9" t="s">
        <v>107</v>
      </c>
      <c r="B104" s="12" t="s">
        <v>133</v>
      </c>
      <c r="C104" s="8">
        <v>80500</v>
      </c>
      <c r="D104" s="17">
        <f t="shared" si="0"/>
        <v>4.375</v>
      </c>
      <c r="E104" s="15">
        <v>35</v>
      </c>
      <c r="F104" s="5" t="s">
        <v>65</v>
      </c>
      <c r="I104"/>
      <c r="J104"/>
    </row>
    <row r="105" spans="1:10">
      <c r="A105" s="9" t="s">
        <v>106</v>
      </c>
      <c r="B105" s="12" t="s">
        <v>105</v>
      </c>
      <c r="C105" s="8">
        <v>288000</v>
      </c>
      <c r="D105" s="17">
        <f t="shared" si="0"/>
        <v>15</v>
      </c>
      <c r="E105" s="15">
        <v>120</v>
      </c>
      <c r="F105" s="5" t="s">
        <v>65</v>
      </c>
      <c r="I105"/>
      <c r="J105"/>
    </row>
    <row r="106" spans="1:10">
      <c r="A106" s="9" t="s">
        <v>111</v>
      </c>
      <c r="B106" s="12" t="s">
        <v>110</v>
      </c>
      <c r="C106" s="8">
        <v>201450</v>
      </c>
      <c r="D106" s="17">
        <f t="shared" si="0"/>
        <v>14.8125</v>
      </c>
      <c r="E106" s="15">
        <v>118.5</v>
      </c>
      <c r="F106" s="5" t="s">
        <v>65</v>
      </c>
      <c r="I106"/>
      <c r="J106"/>
    </row>
    <row r="107" spans="1:10">
      <c r="A107" s="9" t="s">
        <v>136</v>
      </c>
      <c r="B107" s="12" t="s">
        <v>134</v>
      </c>
      <c r="C107" s="8">
        <v>151800</v>
      </c>
      <c r="D107" s="17">
        <f t="shared" si="0"/>
        <v>8.25</v>
      </c>
      <c r="E107" s="15">
        <v>66</v>
      </c>
      <c r="F107" s="5" t="s">
        <v>65</v>
      </c>
      <c r="I107"/>
      <c r="J107"/>
    </row>
    <row r="108" spans="1:10">
      <c r="A108" s="9" t="s">
        <v>113</v>
      </c>
      <c r="B108" s="12" t="s">
        <v>112</v>
      </c>
      <c r="C108" s="8">
        <v>216000</v>
      </c>
      <c r="D108" s="17">
        <f t="shared" si="0"/>
        <v>15</v>
      </c>
      <c r="E108" s="15">
        <v>120</v>
      </c>
      <c r="F108" s="5" t="s">
        <v>65</v>
      </c>
      <c r="I108"/>
      <c r="J108"/>
    </row>
    <row r="109" spans="1:10">
      <c r="A109" s="9" t="s">
        <v>117</v>
      </c>
      <c r="B109" s="12" t="s">
        <v>116</v>
      </c>
      <c r="C109" s="8">
        <v>255150</v>
      </c>
      <c r="D109" s="17">
        <f t="shared" si="0"/>
        <v>15.1875</v>
      </c>
      <c r="E109" s="15">
        <v>121.5</v>
      </c>
      <c r="F109" s="5" t="s">
        <v>65</v>
      </c>
      <c r="I109"/>
      <c r="J109"/>
    </row>
    <row r="110" spans="1:10">
      <c r="A110" s="9" t="s">
        <v>119</v>
      </c>
      <c r="B110" s="12" t="s">
        <v>118</v>
      </c>
      <c r="C110" s="8">
        <v>274275</v>
      </c>
      <c r="D110" s="17">
        <f t="shared" si="0"/>
        <v>14.90625</v>
      </c>
      <c r="E110" s="15">
        <v>119.25</v>
      </c>
      <c r="F110" s="5" t="s">
        <v>65</v>
      </c>
      <c r="I110"/>
      <c r="J110"/>
    </row>
    <row r="111" spans="1:10">
      <c r="A111" s="9" t="s">
        <v>123</v>
      </c>
      <c r="B111" s="12" t="s">
        <v>122</v>
      </c>
      <c r="C111" s="8">
        <v>254100</v>
      </c>
      <c r="D111" s="17">
        <f t="shared" si="0"/>
        <v>13.4375</v>
      </c>
      <c r="E111" s="15">
        <v>107.5</v>
      </c>
      <c r="F111" s="5" t="s">
        <v>65</v>
      </c>
      <c r="I111"/>
      <c r="J111"/>
    </row>
    <row r="112" spans="1:10">
      <c r="A112" s="9" t="s">
        <v>67</v>
      </c>
      <c r="B112" s="12" t="s">
        <v>66</v>
      </c>
      <c r="C112" s="8">
        <v>469800</v>
      </c>
      <c r="D112" s="17">
        <f t="shared" si="0"/>
        <v>15.375</v>
      </c>
      <c r="E112" s="15">
        <v>123</v>
      </c>
      <c r="F112" s="5" t="s">
        <v>65</v>
      </c>
      <c r="I112"/>
      <c r="J112"/>
    </row>
    <row r="113" spans="1:10">
      <c r="A113" s="9" t="s">
        <v>137</v>
      </c>
      <c r="B113" s="12" t="s">
        <v>68</v>
      </c>
      <c r="C113" s="8">
        <v>245700</v>
      </c>
      <c r="D113" s="17">
        <f t="shared" si="0"/>
        <v>14.625</v>
      </c>
      <c r="E113" s="15">
        <v>117</v>
      </c>
      <c r="F113" s="5" t="s">
        <v>65</v>
      </c>
      <c r="I113"/>
      <c r="J113"/>
    </row>
    <row r="114" spans="1:10">
      <c r="A114" s="9" t="s">
        <v>76</v>
      </c>
      <c r="B114" s="12" t="s">
        <v>75</v>
      </c>
      <c r="C114" s="8">
        <v>188700</v>
      </c>
      <c r="D114" s="17">
        <f t="shared" si="0"/>
        <v>13.875</v>
      </c>
      <c r="E114" s="15">
        <v>111</v>
      </c>
      <c r="F114" s="5" t="s">
        <v>65</v>
      </c>
      <c r="I114"/>
      <c r="J114"/>
    </row>
    <row r="115" spans="1:10">
      <c r="A115" s="9" t="s">
        <v>80</v>
      </c>
      <c r="B115" s="12" t="s">
        <v>79</v>
      </c>
      <c r="C115" s="8">
        <v>270600</v>
      </c>
      <c r="D115" s="17">
        <f t="shared" si="0"/>
        <v>15.375</v>
      </c>
      <c r="E115" s="15">
        <v>123</v>
      </c>
      <c r="F115" s="5" t="s">
        <v>65</v>
      </c>
      <c r="I115"/>
      <c r="J115"/>
    </row>
    <row r="116" spans="1:10">
      <c r="A116" s="9" t="s">
        <v>70</v>
      </c>
      <c r="B116" s="12" t="s">
        <v>69</v>
      </c>
      <c r="C116" s="8">
        <v>266400</v>
      </c>
      <c r="D116" s="17">
        <f t="shared" si="0"/>
        <v>13.875</v>
      </c>
      <c r="E116" s="15">
        <v>111</v>
      </c>
      <c r="F116" s="5" t="s">
        <v>65</v>
      </c>
      <c r="I116"/>
      <c r="J116"/>
    </row>
    <row r="117" spans="1:10">
      <c r="A117" s="9" t="s">
        <v>115</v>
      </c>
      <c r="B117" s="12" t="s">
        <v>114</v>
      </c>
      <c r="C117" s="8">
        <v>211500</v>
      </c>
      <c r="D117" s="17">
        <f t="shared" si="0"/>
        <v>9.25</v>
      </c>
      <c r="E117" s="15">
        <v>74</v>
      </c>
      <c r="F117" s="5" t="s">
        <v>65</v>
      </c>
      <c r="I117"/>
      <c r="J117"/>
    </row>
    <row r="118" spans="1:10">
      <c r="A118" s="9" t="s">
        <v>78</v>
      </c>
      <c r="B118" s="12" t="s">
        <v>77</v>
      </c>
      <c r="C118" s="8">
        <v>209100</v>
      </c>
      <c r="D118" s="17">
        <f t="shared" si="0"/>
        <v>15.375</v>
      </c>
      <c r="E118" s="15">
        <v>123</v>
      </c>
      <c r="F118" s="5" t="s">
        <v>65</v>
      </c>
      <c r="I118"/>
      <c r="J118"/>
    </row>
    <row r="119" spans="1:10">
      <c r="A119" s="9" t="s">
        <v>125</v>
      </c>
      <c r="B119" s="12" t="s">
        <v>124</v>
      </c>
      <c r="C119" s="8">
        <v>216450</v>
      </c>
      <c r="D119" s="17">
        <f t="shared" si="0"/>
        <v>14.625</v>
      </c>
      <c r="E119" s="15">
        <v>117</v>
      </c>
      <c r="F119" s="5" t="s">
        <v>65</v>
      </c>
      <c r="I119"/>
      <c r="J119"/>
    </row>
    <row r="120" spans="1:10">
      <c r="A120" s="9" t="s">
        <v>127</v>
      </c>
      <c r="B120" s="12" t="s">
        <v>126</v>
      </c>
      <c r="C120" s="8">
        <v>257400</v>
      </c>
      <c r="D120" s="17">
        <f t="shared" si="0"/>
        <v>14.625</v>
      </c>
      <c r="E120" s="15">
        <v>117</v>
      </c>
      <c r="F120" s="5" t="s">
        <v>65</v>
      </c>
      <c r="I120"/>
      <c r="J120"/>
    </row>
    <row r="121" spans="1:10">
      <c r="A121" s="9" t="s">
        <v>129</v>
      </c>
      <c r="B121" s="12" t="s">
        <v>128</v>
      </c>
      <c r="C121" s="8">
        <v>234000</v>
      </c>
      <c r="D121" s="17">
        <f t="shared" ref="D121:D184" si="1">E121/8</f>
        <v>14.625</v>
      </c>
      <c r="E121" s="15">
        <v>117</v>
      </c>
      <c r="F121" s="5" t="s">
        <v>65</v>
      </c>
      <c r="I121"/>
      <c r="J121"/>
    </row>
    <row r="122" spans="1:10">
      <c r="A122" s="9" t="s">
        <v>131</v>
      </c>
      <c r="B122" s="12" t="s">
        <v>130</v>
      </c>
      <c r="C122" s="8">
        <v>196350</v>
      </c>
      <c r="D122" s="17">
        <f t="shared" si="1"/>
        <v>14.4375</v>
      </c>
      <c r="E122" s="15">
        <v>115.5</v>
      </c>
      <c r="F122" s="5" t="s">
        <v>65</v>
      </c>
      <c r="I122"/>
      <c r="J122"/>
    </row>
    <row r="123" spans="1:10">
      <c r="A123" s="9" t="s">
        <v>121</v>
      </c>
      <c r="B123" s="12" t="s">
        <v>120</v>
      </c>
      <c r="C123" s="8">
        <v>210600</v>
      </c>
      <c r="D123" s="17">
        <f t="shared" si="1"/>
        <v>14.625</v>
      </c>
      <c r="E123" s="15">
        <v>117</v>
      </c>
      <c r="F123" s="5" t="s">
        <v>65</v>
      </c>
      <c r="I123"/>
      <c r="J123"/>
    </row>
    <row r="124" spans="1:10">
      <c r="A124" s="9" t="s">
        <v>127</v>
      </c>
      <c r="B124" s="12" t="s">
        <v>126</v>
      </c>
      <c r="C124" s="8">
        <v>69300</v>
      </c>
      <c r="D124" s="17">
        <f t="shared" si="1"/>
        <v>3.9375</v>
      </c>
      <c r="E124" s="15">
        <v>31.5</v>
      </c>
      <c r="F124" s="5" t="s">
        <v>65</v>
      </c>
      <c r="I124"/>
      <c r="J124"/>
    </row>
    <row r="125" spans="1:10">
      <c r="A125" s="10" t="s">
        <v>189</v>
      </c>
      <c r="B125" s="12" t="s">
        <v>138</v>
      </c>
      <c r="C125" s="8">
        <v>85000</v>
      </c>
      <c r="D125" s="17">
        <f t="shared" si="1"/>
        <v>6.25</v>
      </c>
      <c r="E125" s="16">
        <v>50</v>
      </c>
      <c r="F125" s="5" t="s">
        <v>65</v>
      </c>
      <c r="I125"/>
      <c r="J125"/>
    </row>
    <row r="126" spans="1:10">
      <c r="A126" s="10" t="s">
        <v>190</v>
      </c>
      <c r="B126" s="12" t="s">
        <v>139</v>
      </c>
      <c r="C126" s="8">
        <v>232875</v>
      </c>
      <c r="D126" s="17">
        <f t="shared" si="1"/>
        <v>12.65625</v>
      </c>
      <c r="E126" s="16">
        <v>101.25</v>
      </c>
      <c r="F126" s="5" t="s">
        <v>65</v>
      </c>
      <c r="I126"/>
    </row>
    <row r="127" spans="1:10">
      <c r="A127" s="10" t="s">
        <v>135</v>
      </c>
      <c r="B127" s="12" t="s">
        <v>132</v>
      </c>
      <c r="C127" s="8">
        <v>243000</v>
      </c>
      <c r="D127" s="17">
        <f t="shared" si="1"/>
        <v>12.65625</v>
      </c>
      <c r="E127" s="16">
        <v>101.25</v>
      </c>
      <c r="F127" s="5" t="s">
        <v>65</v>
      </c>
    </row>
    <row r="128" spans="1:10">
      <c r="A128" s="10" t="s">
        <v>191</v>
      </c>
      <c r="B128" s="12" t="s">
        <v>140</v>
      </c>
      <c r="C128" s="8">
        <v>232875</v>
      </c>
      <c r="D128" s="17">
        <f t="shared" si="1"/>
        <v>12.65625</v>
      </c>
      <c r="E128" s="16">
        <v>101.25</v>
      </c>
      <c r="F128" s="5" t="s">
        <v>65</v>
      </c>
    </row>
    <row r="129" spans="1:6">
      <c r="A129" s="10" t="s">
        <v>192</v>
      </c>
      <c r="B129" s="12" t="s">
        <v>141</v>
      </c>
      <c r="C129" s="8">
        <v>251850</v>
      </c>
      <c r="D129" s="17">
        <f t="shared" si="1"/>
        <v>13.6875</v>
      </c>
      <c r="E129" s="16">
        <v>109.5</v>
      </c>
      <c r="F129" s="5" t="s">
        <v>65</v>
      </c>
    </row>
    <row r="130" spans="1:6">
      <c r="A130" s="10" t="s">
        <v>193</v>
      </c>
      <c r="B130" s="12" t="s">
        <v>142</v>
      </c>
      <c r="C130" s="8">
        <v>248400</v>
      </c>
      <c r="D130" s="17">
        <f t="shared" si="1"/>
        <v>13.5</v>
      </c>
      <c r="E130" s="16">
        <v>108</v>
      </c>
      <c r="F130" s="5" t="s">
        <v>65</v>
      </c>
    </row>
    <row r="131" spans="1:6">
      <c r="A131" s="10" t="s">
        <v>194</v>
      </c>
      <c r="B131" s="12" t="s">
        <v>143</v>
      </c>
      <c r="C131" s="8">
        <v>232875</v>
      </c>
      <c r="D131" s="17">
        <f t="shared" si="1"/>
        <v>12.65625</v>
      </c>
      <c r="E131" s="16">
        <v>101.25</v>
      </c>
      <c r="F131" s="5" t="s">
        <v>65</v>
      </c>
    </row>
    <row r="132" spans="1:6">
      <c r="A132" s="10" t="s">
        <v>195</v>
      </c>
      <c r="B132" s="12" t="s">
        <v>144</v>
      </c>
      <c r="C132" s="8">
        <v>184950</v>
      </c>
      <c r="D132" s="17">
        <f t="shared" si="1"/>
        <v>12.84375</v>
      </c>
      <c r="E132" s="16">
        <v>102.75</v>
      </c>
      <c r="F132" s="5" t="s">
        <v>65</v>
      </c>
    </row>
    <row r="133" spans="1:6">
      <c r="A133" s="10" t="s">
        <v>196</v>
      </c>
      <c r="B133" s="12" t="s">
        <v>145</v>
      </c>
      <c r="C133" s="8">
        <v>183600</v>
      </c>
      <c r="D133" s="17">
        <f t="shared" si="1"/>
        <v>13.5</v>
      </c>
      <c r="E133" s="16">
        <v>108</v>
      </c>
      <c r="F133" s="5" t="s">
        <v>65</v>
      </c>
    </row>
    <row r="134" spans="1:6">
      <c r="A134" s="10" t="s">
        <v>197</v>
      </c>
      <c r="B134" s="12" t="s">
        <v>146</v>
      </c>
      <c r="C134" s="8">
        <v>232875</v>
      </c>
      <c r="D134" s="17">
        <f t="shared" si="1"/>
        <v>12.65625</v>
      </c>
      <c r="E134" s="16">
        <v>101.25</v>
      </c>
      <c r="F134" s="5" t="s">
        <v>65</v>
      </c>
    </row>
    <row r="135" spans="1:6">
      <c r="A135" s="10" t="s">
        <v>198</v>
      </c>
      <c r="B135" s="12" t="s">
        <v>147</v>
      </c>
      <c r="C135" s="8">
        <v>172125</v>
      </c>
      <c r="D135" s="17">
        <f t="shared" si="1"/>
        <v>12.65625</v>
      </c>
      <c r="E135" s="16">
        <v>101.25</v>
      </c>
      <c r="F135" s="5" t="s">
        <v>65</v>
      </c>
    </row>
    <row r="136" spans="1:6">
      <c r="A136" s="10" t="s">
        <v>199</v>
      </c>
      <c r="B136" s="12" t="s">
        <v>148</v>
      </c>
      <c r="C136" s="8">
        <v>152150</v>
      </c>
      <c r="D136" s="17">
        <f t="shared" si="1"/>
        <v>11.1875</v>
      </c>
      <c r="E136" s="16">
        <v>89.5</v>
      </c>
      <c r="F136" s="5" t="s">
        <v>65</v>
      </c>
    </row>
    <row r="137" spans="1:6">
      <c r="A137" s="10" t="s">
        <v>200</v>
      </c>
      <c r="B137" s="12" t="s">
        <v>149</v>
      </c>
      <c r="C137" s="8">
        <v>182250</v>
      </c>
      <c r="D137" s="17">
        <f t="shared" si="1"/>
        <v>12.65625</v>
      </c>
      <c r="E137" s="16">
        <v>101.25</v>
      </c>
      <c r="F137" s="5" t="s">
        <v>65</v>
      </c>
    </row>
    <row r="138" spans="1:6">
      <c r="A138" s="10" t="s">
        <v>201</v>
      </c>
      <c r="B138" s="12" t="s">
        <v>150</v>
      </c>
      <c r="C138" s="8">
        <v>268125</v>
      </c>
      <c r="D138" s="17">
        <f t="shared" si="1"/>
        <v>13.40625</v>
      </c>
      <c r="E138" s="16">
        <v>107.25</v>
      </c>
      <c r="F138" s="5" t="s">
        <v>65</v>
      </c>
    </row>
    <row r="139" spans="1:6">
      <c r="A139" s="10" t="s">
        <v>202</v>
      </c>
      <c r="B139" s="12" t="s">
        <v>151</v>
      </c>
      <c r="C139" s="8">
        <v>182850</v>
      </c>
      <c r="D139" s="17">
        <f t="shared" si="1"/>
        <v>9.9375</v>
      </c>
      <c r="E139" s="16">
        <v>79.5</v>
      </c>
      <c r="F139" s="5" t="s">
        <v>65</v>
      </c>
    </row>
    <row r="140" spans="1:6">
      <c r="A140" s="10" t="s">
        <v>203</v>
      </c>
      <c r="B140" s="12" t="s">
        <v>152</v>
      </c>
      <c r="C140" s="8">
        <v>182250</v>
      </c>
      <c r="D140" s="17">
        <f t="shared" si="1"/>
        <v>12.65625</v>
      </c>
      <c r="E140" s="16">
        <v>101.25</v>
      </c>
      <c r="F140" s="5" t="s">
        <v>65</v>
      </c>
    </row>
    <row r="141" spans="1:6">
      <c r="A141" s="10" t="s">
        <v>204</v>
      </c>
      <c r="B141" s="12" t="s">
        <v>153</v>
      </c>
      <c r="C141" s="8">
        <v>67850</v>
      </c>
      <c r="D141" s="17">
        <f t="shared" si="1"/>
        <v>3.6875</v>
      </c>
      <c r="E141" s="16">
        <v>29.5</v>
      </c>
      <c r="F141" s="5" t="s">
        <v>65</v>
      </c>
    </row>
    <row r="142" spans="1:6">
      <c r="A142" s="10" t="s">
        <v>205</v>
      </c>
      <c r="B142" s="12" t="s">
        <v>154</v>
      </c>
      <c r="C142" s="8">
        <v>152150</v>
      </c>
      <c r="D142" s="17">
        <f t="shared" si="1"/>
        <v>11.1875</v>
      </c>
      <c r="E142" s="16">
        <v>89.5</v>
      </c>
      <c r="F142" s="5" t="s">
        <v>65</v>
      </c>
    </row>
    <row r="143" spans="1:6">
      <c r="A143" s="10" t="s">
        <v>206</v>
      </c>
      <c r="B143" s="12" t="s">
        <v>155</v>
      </c>
      <c r="C143" s="8">
        <v>232875</v>
      </c>
      <c r="D143" s="17">
        <f t="shared" si="1"/>
        <v>12.65625</v>
      </c>
      <c r="E143" s="16">
        <v>101.25</v>
      </c>
      <c r="F143" s="5" t="s">
        <v>65</v>
      </c>
    </row>
    <row r="144" spans="1:6">
      <c r="A144" s="10" t="s">
        <v>207</v>
      </c>
      <c r="B144" s="12" t="s">
        <v>156</v>
      </c>
      <c r="C144" s="8">
        <v>184950</v>
      </c>
      <c r="D144" s="17">
        <f t="shared" si="1"/>
        <v>12.84375</v>
      </c>
      <c r="E144" s="16">
        <v>102.75</v>
      </c>
      <c r="F144" s="5" t="s">
        <v>65</v>
      </c>
    </row>
    <row r="145" spans="1:6">
      <c r="A145" s="10" t="s">
        <v>208</v>
      </c>
      <c r="B145" s="12" t="s">
        <v>157</v>
      </c>
      <c r="C145" s="8">
        <v>182250</v>
      </c>
      <c r="D145" s="17">
        <f t="shared" si="1"/>
        <v>12.65625</v>
      </c>
      <c r="E145" s="16">
        <v>101.25</v>
      </c>
      <c r="F145" s="5" t="s">
        <v>65</v>
      </c>
    </row>
    <row r="146" spans="1:6">
      <c r="A146" s="10" t="s">
        <v>209</v>
      </c>
      <c r="B146" s="12" t="s">
        <v>158</v>
      </c>
      <c r="C146" s="8">
        <v>183600</v>
      </c>
      <c r="D146" s="17">
        <f t="shared" si="1"/>
        <v>13.5</v>
      </c>
      <c r="E146" s="16">
        <v>108</v>
      </c>
      <c r="F146" s="5" t="s">
        <v>65</v>
      </c>
    </row>
    <row r="147" spans="1:6">
      <c r="A147" s="10" t="s">
        <v>210</v>
      </c>
      <c r="B147" s="12" t="s">
        <v>159</v>
      </c>
      <c r="C147" s="8">
        <v>222750</v>
      </c>
      <c r="D147" s="17">
        <f t="shared" si="1"/>
        <v>12.65625</v>
      </c>
      <c r="E147" s="16">
        <v>101.25</v>
      </c>
      <c r="F147" s="5" t="s">
        <v>65</v>
      </c>
    </row>
    <row r="148" spans="1:6">
      <c r="A148" s="10" t="s">
        <v>211</v>
      </c>
      <c r="B148" s="12" t="s">
        <v>160</v>
      </c>
      <c r="C148" s="8">
        <v>263250</v>
      </c>
      <c r="D148" s="17">
        <f t="shared" si="1"/>
        <v>12.65625</v>
      </c>
      <c r="E148" s="16">
        <v>101.25</v>
      </c>
      <c r="F148" s="5" t="s">
        <v>65</v>
      </c>
    </row>
    <row r="149" spans="1:6">
      <c r="A149" s="10" t="s">
        <v>212</v>
      </c>
      <c r="B149" s="12" t="s">
        <v>161</v>
      </c>
      <c r="C149" s="8">
        <v>236325</v>
      </c>
      <c r="D149" s="17">
        <f t="shared" si="1"/>
        <v>12.84375</v>
      </c>
      <c r="E149" s="16">
        <v>102.75</v>
      </c>
      <c r="F149" s="5" t="s">
        <v>65</v>
      </c>
    </row>
    <row r="150" spans="1:6">
      <c r="A150" s="10" t="s">
        <v>213</v>
      </c>
      <c r="B150" s="12" t="s">
        <v>162</v>
      </c>
      <c r="C150" s="8">
        <v>175950</v>
      </c>
      <c r="D150" s="17">
        <f t="shared" si="1"/>
        <v>12.9375</v>
      </c>
      <c r="E150" s="16">
        <v>103.5</v>
      </c>
      <c r="F150" s="5" t="s">
        <v>65</v>
      </c>
    </row>
    <row r="151" spans="1:6">
      <c r="A151" s="10" t="s">
        <v>214</v>
      </c>
      <c r="B151" s="12" t="s">
        <v>163</v>
      </c>
      <c r="C151" s="8">
        <v>232875</v>
      </c>
      <c r="D151" s="17">
        <f t="shared" si="1"/>
        <v>12.65625</v>
      </c>
      <c r="E151" s="16">
        <v>101.25</v>
      </c>
      <c r="F151" s="5" t="s">
        <v>65</v>
      </c>
    </row>
    <row r="152" spans="1:6">
      <c r="A152" s="10" t="s">
        <v>215</v>
      </c>
      <c r="B152" s="12" t="s">
        <v>164</v>
      </c>
      <c r="C152" s="8">
        <v>222750</v>
      </c>
      <c r="D152" s="17">
        <f t="shared" si="1"/>
        <v>12.65625</v>
      </c>
      <c r="E152" s="16">
        <v>101.25</v>
      </c>
      <c r="F152" s="5" t="s">
        <v>65</v>
      </c>
    </row>
    <row r="153" spans="1:6">
      <c r="A153" s="10" t="s">
        <v>216</v>
      </c>
      <c r="B153" s="12" t="s">
        <v>165</v>
      </c>
      <c r="C153" s="8">
        <v>243225</v>
      </c>
      <c r="D153" s="17">
        <f t="shared" si="1"/>
        <v>13.21875</v>
      </c>
      <c r="E153" s="16">
        <v>105.75</v>
      </c>
      <c r="F153" s="5" t="s">
        <v>65</v>
      </c>
    </row>
    <row r="154" spans="1:6">
      <c r="A154" s="10" t="s">
        <v>217</v>
      </c>
      <c r="B154" s="12" t="s">
        <v>166</v>
      </c>
      <c r="C154" s="8">
        <v>172125</v>
      </c>
      <c r="D154" s="17">
        <f t="shared" si="1"/>
        <v>12.65625</v>
      </c>
      <c r="E154" s="16">
        <v>101.25</v>
      </c>
      <c r="F154" s="5" t="s">
        <v>65</v>
      </c>
    </row>
    <row r="155" spans="1:6">
      <c r="A155" s="10" t="s">
        <v>218</v>
      </c>
      <c r="B155" s="12" t="s">
        <v>167</v>
      </c>
      <c r="C155" s="8">
        <v>231150</v>
      </c>
      <c r="D155" s="17">
        <f t="shared" si="1"/>
        <v>12.5625</v>
      </c>
      <c r="E155" s="16">
        <v>100.5</v>
      </c>
      <c r="F155" s="5" t="s">
        <v>65</v>
      </c>
    </row>
    <row r="156" spans="1:6">
      <c r="A156" s="10" t="s">
        <v>219</v>
      </c>
      <c r="B156" s="12" t="s">
        <v>168</v>
      </c>
      <c r="C156" s="8">
        <v>199100</v>
      </c>
      <c r="D156" s="17">
        <f t="shared" si="1"/>
        <v>11.3125</v>
      </c>
      <c r="E156" s="16">
        <v>90.5</v>
      </c>
      <c r="F156" s="5" t="s">
        <v>65</v>
      </c>
    </row>
    <row r="157" spans="1:6">
      <c r="A157" s="10" t="s">
        <v>220</v>
      </c>
      <c r="B157" s="12" t="s">
        <v>169</v>
      </c>
      <c r="C157" s="8">
        <v>183600</v>
      </c>
      <c r="D157" s="17">
        <f t="shared" si="1"/>
        <v>13.5</v>
      </c>
      <c r="E157" s="16">
        <v>108</v>
      </c>
      <c r="F157" s="5" t="s">
        <v>65</v>
      </c>
    </row>
    <row r="158" spans="1:6">
      <c r="A158" s="10" t="s">
        <v>221</v>
      </c>
      <c r="B158" s="12" t="s">
        <v>170</v>
      </c>
      <c r="C158" s="8">
        <v>232875</v>
      </c>
      <c r="D158" s="17">
        <f t="shared" si="1"/>
        <v>12.65625</v>
      </c>
      <c r="E158" s="16">
        <v>101.25</v>
      </c>
      <c r="F158" s="5" t="s">
        <v>65</v>
      </c>
    </row>
    <row r="159" spans="1:6">
      <c r="A159" s="10" t="s">
        <v>222</v>
      </c>
      <c r="B159" s="12" t="s">
        <v>171</v>
      </c>
      <c r="C159" s="8">
        <v>168300</v>
      </c>
      <c r="D159" s="17">
        <f t="shared" si="1"/>
        <v>12.375</v>
      </c>
      <c r="E159" s="16">
        <v>99</v>
      </c>
      <c r="F159" s="5" t="s">
        <v>65</v>
      </c>
    </row>
    <row r="160" spans="1:6">
      <c r="A160" s="10" t="s">
        <v>223</v>
      </c>
      <c r="B160" s="12" t="s">
        <v>172</v>
      </c>
      <c r="C160" s="8">
        <v>182250</v>
      </c>
      <c r="D160" s="17">
        <f t="shared" si="1"/>
        <v>12.65625</v>
      </c>
      <c r="E160" s="16">
        <v>101.25</v>
      </c>
      <c r="F160" s="5" t="s">
        <v>65</v>
      </c>
    </row>
    <row r="161" spans="1:6">
      <c r="A161" s="10" t="s">
        <v>224</v>
      </c>
      <c r="B161" s="12" t="s">
        <v>173</v>
      </c>
      <c r="C161" s="8">
        <v>172125</v>
      </c>
      <c r="D161" s="17">
        <f t="shared" si="1"/>
        <v>12.65625</v>
      </c>
      <c r="E161" s="16">
        <v>101.25</v>
      </c>
      <c r="F161" s="5" t="s">
        <v>65</v>
      </c>
    </row>
    <row r="162" spans="1:6">
      <c r="A162" s="10" t="s">
        <v>225</v>
      </c>
      <c r="B162" s="12" t="s">
        <v>174</v>
      </c>
      <c r="C162" s="8">
        <v>152150</v>
      </c>
      <c r="D162" s="17">
        <f t="shared" si="1"/>
        <v>11.1875</v>
      </c>
      <c r="E162" s="16">
        <v>89.5</v>
      </c>
      <c r="F162" s="5" t="s">
        <v>65</v>
      </c>
    </row>
    <row r="163" spans="1:6">
      <c r="A163" s="10" t="s">
        <v>226</v>
      </c>
      <c r="B163" s="12" t="s">
        <v>175</v>
      </c>
      <c r="C163" s="8">
        <v>205850</v>
      </c>
      <c r="D163" s="17">
        <f t="shared" si="1"/>
        <v>11.1875</v>
      </c>
      <c r="E163" s="16">
        <v>89.5</v>
      </c>
      <c r="F163" s="5" t="s">
        <v>65</v>
      </c>
    </row>
    <row r="164" spans="1:6">
      <c r="A164" s="10" t="s">
        <v>227</v>
      </c>
      <c r="B164" s="12" t="s">
        <v>176</v>
      </c>
      <c r="C164" s="8">
        <v>236325</v>
      </c>
      <c r="D164" s="17">
        <f t="shared" si="1"/>
        <v>12.84375</v>
      </c>
      <c r="E164" s="16">
        <v>102.75</v>
      </c>
      <c r="F164" s="5" t="s">
        <v>65</v>
      </c>
    </row>
    <row r="165" spans="1:6">
      <c r="A165" s="10" t="s">
        <v>228</v>
      </c>
      <c r="B165" s="12" t="s">
        <v>177</v>
      </c>
      <c r="C165" s="8">
        <v>236325</v>
      </c>
      <c r="D165" s="17">
        <f t="shared" si="1"/>
        <v>12.84375</v>
      </c>
      <c r="E165" s="16">
        <v>102.75</v>
      </c>
      <c r="F165" s="5" t="s">
        <v>65</v>
      </c>
    </row>
    <row r="166" spans="1:6">
      <c r="A166" s="10" t="s">
        <v>229</v>
      </c>
      <c r="B166" s="12" t="s">
        <v>178</v>
      </c>
      <c r="C166" s="8">
        <v>172125</v>
      </c>
      <c r="D166" s="17">
        <f t="shared" si="1"/>
        <v>12.65625</v>
      </c>
      <c r="E166" s="16">
        <v>101.25</v>
      </c>
      <c r="F166" s="5" t="s">
        <v>65</v>
      </c>
    </row>
    <row r="167" spans="1:6">
      <c r="A167" s="10" t="s">
        <v>230</v>
      </c>
      <c r="B167" s="12" t="s">
        <v>179</v>
      </c>
      <c r="C167" s="8">
        <v>161100</v>
      </c>
      <c r="D167" s="17">
        <f t="shared" si="1"/>
        <v>11.1875</v>
      </c>
      <c r="E167" s="16">
        <v>89.5</v>
      </c>
      <c r="F167" s="5" t="s">
        <v>65</v>
      </c>
    </row>
    <row r="168" spans="1:6">
      <c r="A168" s="10" t="s">
        <v>231</v>
      </c>
      <c r="B168" s="12" t="s">
        <v>180</v>
      </c>
      <c r="C168" s="8">
        <v>67150</v>
      </c>
      <c r="D168" s="17">
        <f t="shared" si="1"/>
        <v>4.9375</v>
      </c>
      <c r="E168" s="16">
        <v>39.5</v>
      </c>
      <c r="F168" s="5" t="s">
        <v>65</v>
      </c>
    </row>
    <row r="169" spans="1:6">
      <c r="A169" s="10" t="s">
        <v>232</v>
      </c>
      <c r="B169" s="12" t="s">
        <v>181</v>
      </c>
      <c r="C169" s="8">
        <v>205850</v>
      </c>
      <c r="D169" s="17">
        <f t="shared" si="1"/>
        <v>11.1875</v>
      </c>
      <c r="E169" s="16">
        <v>89.5</v>
      </c>
      <c r="F169" s="5" t="s">
        <v>65</v>
      </c>
    </row>
    <row r="170" spans="1:6">
      <c r="A170" s="10" t="s">
        <v>233</v>
      </c>
      <c r="B170" s="12" t="s">
        <v>182</v>
      </c>
      <c r="C170" s="8">
        <v>184950</v>
      </c>
      <c r="D170" s="17">
        <f t="shared" si="1"/>
        <v>12.84375</v>
      </c>
      <c r="E170" s="16">
        <v>102.75</v>
      </c>
      <c r="F170" s="5" t="s">
        <v>65</v>
      </c>
    </row>
    <row r="171" spans="1:6">
      <c r="A171" s="10" t="s">
        <v>234</v>
      </c>
      <c r="B171" s="12" t="s">
        <v>183</v>
      </c>
      <c r="C171" s="8">
        <v>172125</v>
      </c>
      <c r="D171" s="17">
        <f t="shared" si="1"/>
        <v>12.65625</v>
      </c>
      <c r="E171" s="16">
        <v>101.25</v>
      </c>
      <c r="F171" s="5" t="s">
        <v>65</v>
      </c>
    </row>
    <row r="172" spans="1:6">
      <c r="A172" s="10" t="s">
        <v>235</v>
      </c>
      <c r="B172" s="12" t="s">
        <v>184</v>
      </c>
      <c r="C172" s="8">
        <v>107100</v>
      </c>
      <c r="D172" s="17">
        <f t="shared" si="1"/>
        <v>7.4375</v>
      </c>
      <c r="E172" s="16">
        <v>59.5</v>
      </c>
      <c r="F172" s="5" t="s">
        <v>65</v>
      </c>
    </row>
    <row r="173" spans="1:6">
      <c r="A173" s="10" t="s">
        <v>236</v>
      </c>
      <c r="B173" s="12" t="s">
        <v>185</v>
      </c>
      <c r="C173" s="8">
        <v>238050</v>
      </c>
      <c r="D173" s="17">
        <f t="shared" si="1"/>
        <v>12.9375</v>
      </c>
      <c r="E173" s="16">
        <v>103.5</v>
      </c>
      <c r="F173" s="5" t="s">
        <v>65</v>
      </c>
    </row>
    <row r="174" spans="1:6">
      <c r="A174" s="10" t="s">
        <v>237</v>
      </c>
      <c r="B174" s="12" t="s">
        <v>186</v>
      </c>
      <c r="C174" s="8">
        <v>178200</v>
      </c>
      <c r="D174" s="17">
        <f t="shared" si="1"/>
        <v>12.375</v>
      </c>
      <c r="E174" s="16">
        <v>99</v>
      </c>
      <c r="F174" s="5" t="s">
        <v>65</v>
      </c>
    </row>
    <row r="175" spans="1:6">
      <c r="A175" s="10" t="s">
        <v>238</v>
      </c>
      <c r="B175" s="12" t="s">
        <v>187</v>
      </c>
      <c r="C175" s="8">
        <v>172125</v>
      </c>
      <c r="D175" s="17">
        <f t="shared" si="1"/>
        <v>12.65625</v>
      </c>
      <c r="E175" s="16">
        <v>101.25</v>
      </c>
      <c r="F175" s="5" t="s">
        <v>65</v>
      </c>
    </row>
    <row r="176" spans="1:6">
      <c r="A176" s="10" t="s">
        <v>239</v>
      </c>
      <c r="B176" s="12" t="s">
        <v>188</v>
      </c>
      <c r="C176" s="8">
        <v>182250</v>
      </c>
      <c r="D176" s="17">
        <f t="shared" si="1"/>
        <v>12.65625</v>
      </c>
      <c r="E176" s="16">
        <v>101.25</v>
      </c>
      <c r="F176" s="5" t="s">
        <v>65</v>
      </c>
    </row>
    <row r="177" spans="1:6">
      <c r="A177" s="18" t="s">
        <v>200</v>
      </c>
      <c r="B177" s="19" t="s">
        <v>149</v>
      </c>
      <c r="C177" s="8">
        <v>182250</v>
      </c>
      <c r="D177" s="17">
        <f t="shared" si="1"/>
        <v>12.65625</v>
      </c>
      <c r="E177" s="20">
        <v>101.25</v>
      </c>
      <c r="F177" s="5" t="s">
        <v>61</v>
      </c>
    </row>
    <row r="178" spans="1:6">
      <c r="A178" s="18" t="s">
        <v>209</v>
      </c>
      <c r="B178" s="19" t="s">
        <v>158</v>
      </c>
      <c r="C178" s="8">
        <v>153000</v>
      </c>
      <c r="D178" s="17">
        <f t="shared" si="1"/>
        <v>11.25</v>
      </c>
      <c r="E178" s="20">
        <v>90</v>
      </c>
      <c r="F178" s="5" t="s">
        <v>61</v>
      </c>
    </row>
    <row r="179" spans="1:6">
      <c r="A179" s="18" t="s">
        <v>196</v>
      </c>
      <c r="B179" s="19" t="s">
        <v>145</v>
      </c>
      <c r="C179" s="8">
        <v>179775</v>
      </c>
      <c r="D179" s="17">
        <f t="shared" si="1"/>
        <v>13.21875</v>
      </c>
      <c r="E179" s="20">
        <v>105.75</v>
      </c>
      <c r="F179" s="5" t="s">
        <v>61</v>
      </c>
    </row>
    <row r="180" spans="1:6">
      <c r="A180" s="18" t="s">
        <v>208</v>
      </c>
      <c r="B180" s="19" t="s">
        <v>157</v>
      </c>
      <c r="C180" s="8">
        <v>179550</v>
      </c>
      <c r="D180" s="17">
        <f t="shared" si="1"/>
        <v>12.46875</v>
      </c>
      <c r="E180" s="20">
        <v>99.75</v>
      </c>
      <c r="F180" s="5" t="s">
        <v>61</v>
      </c>
    </row>
    <row r="181" spans="1:6">
      <c r="A181" s="18" t="s">
        <v>190</v>
      </c>
      <c r="B181" s="19" t="s">
        <v>139</v>
      </c>
      <c r="C181" s="8">
        <v>205850</v>
      </c>
      <c r="D181" s="17">
        <f t="shared" si="1"/>
        <v>11.1875</v>
      </c>
      <c r="E181" s="20">
        <v>89.5</v>
      </c>
      <c r="F181" s="5" t="s">
        <v>61</v>
      </c>
    </row>
    <row r="182" spans="1:6">
      <c r="A182" s="18" t="s">
        <v>194</v>
      </c>
      <c r="B182" s="19" t="s">
        <v>143</v>
      </c>
      <c r="C182" s="8">
        <v>234600</v>
      </c>
      <c r="D182" s="17">
        <f t="shared" si="1"/>
        <v>12.75</v>
      </c>
      <c r="E182" s="20">
        <v>102</v>
      </c>
      <c r="F182" s="5" t="s">
        <v>61</v>
      </c>
    </row>
    <row r="183" spans="1:6">
      <c r="A183" s="18" t="s">
        <v>193</v>
      </c>
      <c r="B183" s="19" t="s">
        <v>142</v>
      </c>
      <c r="C183" s="8">
        <v>184000</v>
      </c>
      <c r="D183" s="17">
        <f t="shared" si="1"/>
        <v>10</v>
      </c>
      <c r="E183" s="20">
        <v>80</v>
      </c>
      <c r="F183" s="5" t="s">
        <v>61</v>
      </c>
    </row>
    <row r="184" spans="1:6">
      <c r="A184" s="18" t="s">
        <v>240</v>
      </c>
      <c r="B184" s="19" t="s">
        <v>241</v>
      </c>
      <c r="C184" s="8">
        <v>138000</v>
      </c>
      <c r="D184" s="17">
        <f t="shared" si="1"/>
        <v>7.5</v>
      </c>
      <c r="E184" s="20">
        <v>60</v>
      </c>
      <c r="F184" s="5" t="s">
        <v>61</v>
      </c>
    </row>
    <row r="185" spans="1:6">
      <c r="A185" s="18" t="s">
        <v>198</v>
      </c>
      <c r="B185" s="19" t="s">
        <v>147</v>
      </c>
      <c r="C185" s="8">
        <v>165750</v>
      </c>
      <c r="D185" s="17">
        <f t="shared" ref="D185:D237" si="2">E185/8</f>
        <v>12.1875</v>
      </c>
      <c r="E185" s="20">
        <v>97.5</v>
      </c>
      <c r="F185" s="5" t="s">
        <v>61</v>
      </c>
    </row>
    <row r="186" spans="1:6">
      <c r="A186" s="18" t="s">
        <v>211</v>
      </c>
      <c r="B186" s="19" t="s">
        <v>160</v>
      </c>
      <c r="C186" s="8">
        <v>265200</v>
      </c>
      <c r="D186" s="17">
        <f t="shared" si="2"/>
        <v>12.75</v>
      </c>
      <c r="E186" s="20">
        <v>102</v>
      </c>
      <c r="F186" s="5" t="s">
        <v>61</v>
      </c>
    </row>
    <row r="187" spans="1:6">
      <c r="A187" s="18" t="s">
        <v>220</v>
      </c>
      <c r="B187" s="19" t="s">
        <v>169</v>
      </c>
      <c r="C187" s="8">
        <v>179775</v>
      </c>
      <c r="D187" s="17">
        <f t="shared" si="2"/>
        <v>13.21875</v>
      </c>
      <c r="E187" s="20">
        <v>105.75</v>
      </c>
      <c r="F187" s="5" t="s">
        <v>61</v>
      </c>
    </row>
    <row r="188" spans="1:6">
      <c r="A188" s="18" t="s">
        <v>219</v>
      </c>
      <c r="B188" s="19" t="s">
        <v>168</v>
      </c>
      <c r="C188" s="8">
        <v>222750</v>
      </c>
      <c r="D188" s="17">
        <f t="shared" si="2"/>
        <v>12.65625</v>
      </c>
      <c r="E188" s="20">
        <v>101.25</v>
      </c>
      <c r="F188" s="5" t="s">
        <v>61</v>
      </c>
    </row>
    <row r="189" spans="1:6">
      <c r="A189" s="18" t="s">
        <v>231</v>
      </c>
      <c r="B189" s="19" t="s">
        <v>180</v>
      </c>
      <c r="C189" s="8">
        <v>165750</v>
      </c>
      <c r="D189" s="17">
        <f t="shared" si="2"/>
        <v>12.1875</v>
      </c>
      <c r="E189" s="20">
        <v>97.5</v>
      </c>
      <c r="F189" s="5" t="s">
        <v>61</v>
      </c>
    </row>
    <row r="190" spans="1:6">
      <c r="A190" s="18" t="s">
        <v>135</v>
      </c>
      <c r="B190" s="19" t="s">
        <v>132</v>
      </c>
      <c r="C190" s="8">
        <v>239400</v>
      </c>
      <c r="D190" s="17">
        <f t="shared" si="2"/>
        <v>12.46875</v>
      </c>
      <c r="E190" s="20">
        <v>99.75</v>
      </c>
      <c r="F190" s="5" t="s">
        <v>61</v>
      </c>
    </row>
    <row r="191" spans="1:6">
      <c r="A191" s="18" t="s">
        <v>239</v>
      </c>
      <c r="B191" s="19" t="s">
        <v>188</v>
      </c>
      <c r="C191" s="8">
        <v>183600</v>
      </c>
      <c r="D191" s="17">
        <f t="shared" si="2"/>
        <v>12.75</v>
      </c>
      <c r="E191" s="20">
        <v>102</v>
      </c>
      <c r="F191" s="5" t="s">
        <v>61</v>
      </c>
    </row>
    <row r="192" spans="1:6">
      <c r="A192" s="18" t="s">
        <v>212</v>
      </c>
      <c r="B192" s="19" t="s">
        <v>161</v>
      </c>
      <c r="C192" s="8">
        <v>234600</v>
      </c>
      <c r="D192" s="17">
        <f t="shared" si="2"/>
        <v>12.75</v>
      </c>
      <c r="E192" s="20">
        <v>102</v>
      </c>
      <c r="F192" s="5" t="s">
        <v>61</v>
      </c>
    </row>
    <row r="193" spans="1:6">
      <c r="A193" s="18" t="s">
        <v>210</v>
      </c>
      <c r="B193" s="19" t="s">
        <v>159</v>
      </c>
      <c r="C193" s="8">
        <v>203500</v>
      </c>
      <c r="D193" s="17">
        <f t="shared" si="2"/>
        <v>11.5625</v>
      </c>
      <c r="E193" s="20">
        <v>92.5</v>
      </c>
      <c r="F193" s="5" t="s">
        <v>61</v>
      </c>
    </row>
    <row r="194" spans="1:6">
      <c r="A194" s="18" t="s">
        <v>226</v>
      </c>
      <c r="B194" s="19" t="s">
        <v>175</v>
      </c>
      <c r="C194" s="8">
        <v>232875</v>
      </c>
      <c r="D194" s="17">
        <f t="shared" si="2"/>
        <v>12.65625</v>
      </c>
      <c r="E194" s="20">
        <v>101.25</v>
      </c>
      <c r="F194" s="5" t="s">
        <v>61</v>
      </c>
    </row>
    <row r="195" spans="1:6">
      <c r="A195" s="18" t="s">
        <v>237</v>
      </c>
      <c r="B195" s="19" t="s">
        <v>186</v>
      </c>
      <c r="C195" s="8">
        <v>183600</v>
      </c>
      <c r="D195" s="17">
        <f t="shared" si="2"/>
        <v>12.75</v>
      </c>
      <c r="E195" s="20">
        <v>102</v>
      </c>
      <c r="F195" s="5" t="s">
        <v>61</v>
      </c>
    </row>
    <row r="196" spans="1:6">
      <c r="A196" s="18" t="s">
        <v>216</v>
      </c>
      <c r="B196" s="19" t="s">
        <v>165</v>
      </c>
      <c r="C196" s="8">
        <v>229425</v>
      </c>
      <c r="D196" s="17">
        <f t="shared" si="2"/>
        <v>12.46875</v>
      </c>
      <c r="E196" s="20">
        <v>99.75</v>
      </c>
      <c r="F196" s="5" t="s">
        <v>61</v>
      </c>
    </row>
    <row r="197" spans="1:6">
      <c r="A197" s="18" t="s">
        <v>201</v>
      </c>
      <c r="B197" s="19" t="s">
        <v>150</v>
      </c>
      <c r="C197" s="8">
        <v>264375</v>
      </c>
      <c r="D197" s="17">
        <f t="shared" si="2"/>
        <v>13.21875</v>
      </c>
      <c r="E197" s="20">
        <v>105.75</v>
      </c>
      <c r="F197" s="5" t="s">
        <v>61</v>
      </c>
    </row>
    <row r="198" spans="1:6">
      <c r="A198" s="18" t="s">
        <v>242</v>
      </c>
      <c r="B198" s="19" t="s">
        <v>243</v>
      </c>
      <c r="C198" s="8">
        <v>51000</v>
      </c>
      <c r="D198" s="17">
        <f t="shared" si="2"/>
        <v>3.75</v>
      </c>
      <c r="E198" s="20">
        <v>30</v>
      </c>
      <c r="F198" s="5" t="s">
        <v>61</v>
      </c>
    </row>
    <row r="199" spans="1:6">
      <c r="A199" s="18" t="s">
        <v>244</v>
      </c>
      <c r="B199" s="19" t="s">
        <v>245</v>
      </c>
      <c r="C199" s="8">
        <v>243225</v>
      </c>
      <c r="D199" s="17">
        <f t="shared" si="2"/>
        <v>13.21875</v>
      </c>
      <c r="E199" s="20">
        <v>105.75</v>
      </c>
      <c r="F199" s="5" t="s">
        <v>61</v>
      </c>
    </row>
    <row r="200" spans="1:6">
      <c r="A200" s="18" t="s">
        <v>195</v>
      </c>
      <c r="B200" s="19" t="s">
        <v>144</v>
      </c>
      <c r="C200" s="8">
        <v>182250</v>
      </c>
      <c r="D200" s="17">
        <f t="shared" si="2"/>
        <v>12.65625</v>
      </c>
      <c r="E200" s="20">
        <v>101.25</v>
      </c>
      <c r="F200" s="5" t="s">
        <v>61</v>
      </c>
    </row>
    <row r="201" spans="1:6">
      <c r="A201" s="18" t="s">
        <v>229</v>
      </c>
      <c r="B201" s="19" t="s">
        <v>178</v>
      </c>
      <c r="C201" s="8">
        <v>172125</v>
      </c>
      <c r="D201" s="17">
        <f t="shared" si="2"/>
        <v>12.65625</v>
      </c>
      <c r="E201" s="20">
        <v>101.25</v>
      </c>
      <c r="F201" s="5" t="s">
        <v>61</v>
      </c>
    </row>
    <row r="202" spans="1:6">
      <c r="A202" s="18" t="s">
        <v>214</v>
      </c>
      <c r="B202" s="19" t="s">
        <v>163</v>
      </c>
      <c r="C202" s="8">
        <v>232875</v>
      </c>
      <c r="D202" s="17">
        <f t="shared" si="2"/>
        <v>12.65625</v>
      </c>
      <c r="E202" s="20">
        <v>101.25</v>
      </c>
      <c r="F202" s="5" t="s">
        <v>61</v>
      </c>
    </row>
    <row r="203" spans="1:6">
      <c r="A203" s="18" t="s">
        <v>227</v>
      </c>
      <c r="B203" s="19" t="s">
        <v>176</v>
      </c>
      <c r="C203" s="8">
        <v>232875</v>
      </c>
      <c r="D203" s="17">
        <f t="shared" si="2"/>
        <v>12.65625</v>
      </c>
      <c r="E203" s="20">
        <v>101.25</v>
      </c>
      <c r="F203" s="5" t="s">
        <v>61</v>
      </c>
    </row>
    <row r="204" spans="1:6">
      <c r="A204" s="18" t="s">
        <v>192</v>
      </c>
      <c r="B204" s="19" t="s">
        <v>141</v>
      </c>
      <c r="C204" s="8">
        <v>251850</v>
      </c>
      <c r="D204" s="17">
        <f t="shared" si="2"/>
        <v>13.6875</v>
      </c>
      <c r="E204" s="20">
        <v>109.5</v>
      </c>
      <c r="F204" s="5" t="s">
        <v>61</v>
      </c>
    </row>
    <row r="205" spans="1:6">
      <c r="A205" s="18" t="s">
        <v>232</v>
      </c>
      <c r="B205" s="19" t="s">
        <v>181</v>
      </c>
      <c r="C205" s="8">
        <v>232875</v>
      </c>
      <c r="D205" s="17">
        <f t="shared" si="2"/>
        <v>12.65625</v>
      </c>
      <c r="E205" s="20">
        <v>101.25</v>
      </c>
      <c r="F205" s="5" t="s">
        <v>61</v>
      </c>
    </row>
    <row r="206" spans="1:6">
      <c r="A206" s="18" t="s">
        <v>206</v>
      </c>
      <c r="B206" s="19" t="s">
        <v>155</v>
      </c>
      <c r="C206" s="8">
        <v>232875</v>
      </c>
      <c r="D206" s="17">
        <f t="shared" si="2"/>
        <v>12.65625</v>
      </c>
      <c r="E206" s="20">
        <v>101.25</v>
      </c>
      <c r="F206" s="5" t="s">
        <v>61</v>
      </c>
    </row>
    <row r="207" spans="1:6">
      <c r="A207" s="18" t="s">
        <v>225</v>
      </c>
      <c r="B207" s="19" t="s">
        <v>174</v>
      </c>
      <c r="C207" s="8">
        <v>169575</v>
      </c>
      <c r="D207" s="17">
        <f t="shared" si="2"/>
        <v>12.46875</v>
      </c>
      <c r="E207" s="20">
        <v>99.75</v>
      </c>
      <c r="F207" s="5" t="s">
        <v>61</v>
      </c>
    </row>
    <row r="208" spans="1:6">
      <c r="A208" s="18" t="s">
        <v>224</v>
      </c>
      <c r="B208" s="19" t="s">
        <v>173</v>
      </c>
      <c r="C208" s="8">
        <v>173400</v>
      </c>
      <c r="D208" s="17">
        <f t="shared" si="2"/>
        <v>12.75</v>
      </c>
      <c r="E208" s="20">
        <v>102</v>
      </c>
      <c r="F208" s="5" t="s">
        <v>61</v>
      </c>
    </row>
    <row r="209" spans="1:6">
      <c r="A209" s="18" t="s">
        <v>191</v>
      </c>
      <c r="B209" s="19" t="s">
        <v>140</v>
      </c>
      <c r="C209" s="8">
        <v>234600</v>
      </c>
      <c r="D209" s="17">
        <f t="shared" si="2"/>
        <v>12.75</v>
      </c>
      <c r="E209" s="20">
        <v>102</v>
      </c>
      <c r="F209" s="5" t="s">
        <v>61</v>
      </c>
    </row>
    <row r="210" spans="1:6">
      <c r="A210" s="18" t="s">
        <v>205</v>
      </c>
      <c r="B210" s="19" t="s">
        <v>154</v>
      </c>
      <c r="C210" s="8">
        <v>187425</v>
      </c>
      <c r="D210" s="17">
        <f t="shared" si="2"/>
        <v>13.78125</v>
      </c>
      <c r="E210" s="20">
        <v>110.25</v>
      </c>
      <c r="F210" s="5" t="s">
        <v>61</v>
      </c>
    </row>
    <row r="211" spans="1:6">
      <c r="A211" s="18" t="s">
        <v>228</v>
      </c>
      <c r="B211" s="19" t="s">
        <v>177</v>
      </c>
      <c r="C211" s="8">
        <v>232875</v>
      </c>
      <c r="D211" s="17">
        <f t="shared" si="2"/>
        <v>12.65625</v>
      </c>
      <c r="E211" s="20">
        <v>101.25</v>
      </c>
      <c r="F211" s="5" t="s">
        <v>61</v>
      </c>
    </row>
    <row r="212" spans="1:6">
      <c r="A212" s="18" t="s">
        <v>199</v>
      </c>
      <c r="B212" s="19" t="s">
        <v>148</v>
      </c>
      <c r="C212" s="8">
        <v>170850</v>
      </c>
      <c r="D212" s="17">
        <f t="shared" si="2"/>
        <v>12.5625</v>
      </c>
      <c r="E212" s="20">
        <v>100.5</v>
      </c>
      <c r="F212" s="5" t="s">
        <v>61</v>
      </c>
    </row>
    <row r="213" spans="1:6">
      <c r="A213" s="18" t="s">
        <v>236</v>
      </c>
      <c r="B213" s="19" t="s">
        <v>185</v>
      </c>
      <c r="C213" s="8">
        <v>232875</v>
      </c>
      <c r="D213" s="17">
        <f t="shared" si="2"/>
        <v>12.65625</v>
      </c>
      <c r="E213" s="20">
        <v>101.25</v>
      </c>
      <c r="F213" s="5" t="s">
        <v>61</v>
      </c>
    </row>
    <row r="214" spans="1:6">
      <c r="A214" s="18" t="s">
        <v>213</v>
      </c>
      <c r="B214" s="19" t="s">
        <v>162</v>
      </c>
      <c r="C214" s="8">
        <v>172125</v>
      </c>
      <c r="D214" s="17">
        <f t="shared" si="2"/>
        <v>12.65625</v>
      </c>
      <c r="E214" s="20">
        <v>101.25</v>
      </c>
      <c r="F214" s="5" t="s">
        <v>61</v>
      </c>
    </row>
    <row r="215" spans="1:6">
      <c r="A215" s="18" t="s">
        <v>234</v>
      </c>
      <c r="B215" s="19" t="s">
        <v>183</v>
      </c>
      <c r="C215" s="8">
        <v>173400</v>
      </c>
      <c r="D215" s="17">
        <f t="shared" si="2"/>
        <v>12.75</v>
      </c>
      <c r="E215" s="20">
        <v>102</v>
      </c>
      <c r="F215" s="5" t="s">
        <v>61</v>
      </c>
    </row>
    <row r="216" spans="1:6">
      <c r="A216" s="18" t="s">
        <v>215</v>
      </c>
      <c r="B216" s="19" t="s">
        <v>164</v>
      </c>
      <c r="C216" s="8">
        <v>222750</v>
      </c>
      <c r="D216" s="17">
        <f t="shared" si="2"/>
        <v>12.65625</v>
      </c>
      <c r="E216" s="20">
        <v>101.25</v>
      </c>
      <c r="F216" s="5" t="s">
        <v>61</v>
      </c>
    </row>
    <row r="217" spans="1:6">
      <c r="A217" s="18" t="s">
        <v>222</v>
      </c>
      <c r="B217" s="19" t="s">
        <v>171</v>
      </c>
      <c r="C217" s="8">
        <v>173400</v>
      </c>
      <c r="D217" s="17">
        <f t="shared" si="2"/>
        <v>12.75</v>
      </c>
      <c r="E217" s="20">
        <v>102</v>
      </c>
      <c r="F217" s="5" t="s">
        <v>61</v>
      </c>
    </row>
    <row r="218" spans="1:6">
      <c r="A218" s="18" t="s">
        <v>217</v>
      </c>
      <c r="B218" s="19" t="s">
        <v>166</v>
      </c>
      <c r="C218" s="8">
        <v>68000</v>
      </c>
      <c r="D218" s="17">
        <f t="shared" si="2"/>
        <v>5</v>
      </c>
      <c r="E218" s="20">
        <v>40</v>
      </c>
      <c r="F218" s="5" t="s">
        <v>61</v>
      </c>
    </row>
    <row r="219" spans="1:6">
      <c r="A219" s="18" t="s">
        <v>246</v>
      </c>
      <c r="B219" s="19" t="s">
        <v>247</v>
      </c>
      <c r="C219" s="8">
        <v>136000</v>
      </c>
      <c r="D219" s="17">
        <f t="shared" si="2"/>
        <v>10</v>
      </c>
      <c r="E219" s="20">
        <v>80</v>
      </c>
      <c r="F219" s="5" t="s">
        <v>61</v>
      </c>
    </row>
    <row r="220" spans="1:6">
      <c r="A220" s="18" t="s">
        <v>235</v>
      </c>
      <c r="B220" s="19" t="s">
        <v>184</v>
      </c>
      <c r="C220" s="8">
        <v>179550</v>
      </c>
      <c r="D220" s="17">
        <f t="shared" si="2"/>
        <v>12.46875</v>
      </c>
      <c r="E220" s="20">
        <v>99.75</v>
      </c>
      <c r="F220" s="5" t="s">
        <v>61</v>
      </c>
    </row>
    <row r="221" spans="1:6">
      <c r="A221" s="18" t="s">
        <v>207</v>
      </c>
      <c r="B221" s="19" t="s">
        <v>156</v>
      </c>
      <c r="C221" s="8">
        <v>183600</v>
      </c>
      <c r="D221" s="17">
        <f t="shared" si="2"/>
        <v>12.75</v>
      </c>
      <c r="E221" s="20">
        <v>102</v>
      </c>
      <c r="F221" s="5" t="s">
        <v>61</v>
      </c>
    </row>
    <row r="222" spans="1:6">
      <c r="A222" s="18" t="s">
        <v>230</v>
      </c>
      <c r="B222" s="19" t="s">
        <v>179</v>
      </c>
      <c r="C222" s="8">
        <v>179550</v>
      </c>
      <c r="D222" s="17">
        <f t="shared" si="2"/>
        <v>12.46875</v>
      </c>
      <c r="E222" s="20">
        <v>99.75</v>
      </c>
      <c r="F222" s="5" t="s">
        <v>61</v>
      </c>
    </row>
    <row r="223" spans="1:6">
      <c r="A223" s="18" t="s">
        <v>204</v>
      </c>
      <c r="B223" s="19" t="s">
        <v>153</v>
      </c>
      <c r="C223" s="8">
        <v>234600</v>
      </c>
      <c r="D223" s="17">
        <f t="shared" si="2"/>
        <v>12.75</v>
      </c>
      <c r="E223" s="20">
        <v>102</v>
      </c>
      <c r="F223" s="5" t="s">
        <v>61</v>
      </c>
    </row>
    <row r="224" spans="1:6">
      <c r="A224" s="18" t="s">
        <v>223</v>
      </c>
      <c r="B224" s="19" t="s">
        <v>172</v>
      </c>
      <c r="C224" s="8">
        <v>183600</v>
      </c>
      <c r="D224" s="17">
        <f t="shared" si="2"/>
        <v>12.75</v>
      </c>
      <c r="E224" s="20">
        <v>102</v>
      </c>
      <c r="F224" s="5" t="s">
        <v>61</v>
      </c>
    </row>
    <row r="225" spans="1:6">
      <c r="A225" s="18" t="s">
        <v>197</v>
      </c>
      <c r="B225" s="19" t="s">
        <v>146</v>
      </c>
      <c r="C225" s="8">
        <v>232875</v>
      </c>
      <c r="D225" s="17">
        <f t="shared" si="2"/>
        <v>12.65625</v>
      </c>
      <c r="E225" s="20">
        <v>101.25</v>
      </c>
      <c r="F225" s="5" t="s">
        <v>61</v>
      </c>
    </row>
    <row r="226" spans="1:6">
      <c r="A226" s="18" t="s">
        <v>233</v>
      </c>
      <c r="B226" s="19" t="s">
        <v>182</v>
      </c>
      <c r="C226" s="8">
        <v>183600</v>
      </c>
      <c r="D226" s="17">
        <f t="shared" si="2"/>
        <v>12.75</v>
      </c>
      <c r="E226" s="20">
        <v>102</v>
      </c>
      <c r="F226" s="5" t="s">
        <v>61</v>
      </c>
    </row>
    <row r="227" spans="1:6">
      <c r="A227" s="18" t="s">
        <v>221</v>
      </c>
      <c r="B227" s="19" t="s">
        <v>170</v>
      </c>
      <c r="C227" s="8">
        <v>232875</v>
      </c>
      <c r="D227" s="17">
        <f t="shared" si="2"/>
        <v>12.65625</v>
      </c>
      <c r="E227" s="20">
        <v>101.25</v>
      </c>
      <c r="F227" s="5" t="s">
        <v>61</v>
      </c>
    </row>
    <row r="228" spans="1:6">
      <c r="A228" s="18" t="s">
        <v>248</v>
      </c>
      <c r="B228" s="19" t="s">
        <v>249</v>
      </c>
      <c r="C228" s="8">
        <v>243225</v>
      </c>
      <c r="D228" s="17">
        <f t="shared" si="2"/>
        <v>13.21875</v>
      </c>
      <c r="E228" s="20">
        <v>105.75</v>
      </c>
      <c r="F228" s="5" t="s">
        <v>61</v>
      </c>
    </row>
    <row r="229" spans="1:6">
      <c r="A229" s="18" t="s">
        <v>203</v>
      </c>
      <c r="B229" s="19" t="s">
        <v>152</v>
      </c>
      <c r="C229" s="8">
        <v>182250</v>
      </c>
      <c r="D229" s="17">
        <f t="shared" si="2"/>
        <v>12.65625</v>
      </c>
      <c r="E229" s="20">
        <v>101.25</v>
      </c>
      <c r="F229" s="5" t="s">
        <v>61</v>
      </c>
    </row>
    <row r="230" spans="1:6">
      <c r="A230" s="18" t="s">
        <v>238</v>
      </c>
      <c r="B230" s="19" t="s">
        <v>187</v>
      </c>
      <c r="C230" s="8">
        <v>173400</v>
      </c>
      <c r="D230" s="17">
        <f t="shared" si="2"/>
        <v>12.75</v>
      </c>
      <c r="E230" s="20">
        <v>102</v>
      </c>
      <c r="F230" s="5" t="s">
        <v>61</v>
      </c>
    </row>
    <row r="231" spans="1:6">
      <c r="A231" s="18" t="s">
        <v>218</v>
      </c>
      <c r="B231" s="19" t="s">
        <v>167</v>
      </c>
      <c r="C231" s="8">
        <v>219650</v>
      </c>
      <c r="D231" s="17">
        <f t="shared" si="2"/>
        <v>11.9375</v>
      </c>
      <c r="E231" s="20">
        <v>95.5</v>
      </c>
      <c r="F231" s="5" t="s">
        <v>61</v>
      </c>
    </row>
    <row r="232" spans="1:6">
      <c r="A232" s="18" t="s">
        <v>127</v>
      </c>
      <c r="B232" s="19" t="s">
        <v>126</v>
      </c>
      <c r="C232" s="8">
        <v>266486</v>
      </c>
      <c r="D232" s="17">
        <f t="shared" si="2"/>
        <v>15.141249999999999</v>
      </c>
      <c r="E232" s="20">
        <v>121.13</v>
      </c>
      <c r="F232" s="5" t="s">
        <v>61</v>
      </c>
    </row>
    <row r="233" spans="1:6">
      <c r="A233" s="18" t="s">
        <v>250</v>
      </c>
      <c r="B233" s="19" t="s">
        <v>251</v>
      </c>
      <c r="C233" s="8">
        <v>59925</v>
      </c>
      <c r="D233" s="17">
        <f t="shared" si="2"/>
        <v>4.40625</v>
      </c>
      <c r="E233" s="20">
        <v>35.25</v>
      </c>
      <c r="F233" s="5" t="s">
        <v>61</v>
      </c>
    </row>
    <row r="234" spans="1:6">
      <c r="A234" s="18" t="s">
        <v>252</v>
      </c>
      <c r="B234" s="19" t="s">
        <v>253</v>
      </c>
      <c r="C234" s="8">
        <v>56950</v>
      </c>
      <c r="D234" s="17">
        <f t="shared" si="2"/>
        <v>4.1875</v>
      </c>
      <c r="E234" s="20">
        <v>33.5</v>
      </c>
      <c r="F234" s="5" t="s">
        <v>61</v>
      </c>
    </row>
    <row r="235" spans="1:6">
      <c r="A235" s="18" t="s">
        <v>254</v>
      </c>
      <c r="B235" s="19" t="s">
        <v>255</v>
      </c>
      <c r="C235" s="8">
        <v>74025</v>
      </c>
      <c r="D235" s="17">
        <f t="shared" si="2"/>
        <v>4.40625</v>
      </c>
      <c r="E235" s="20">
        <v>35.25</v>
      </c>
      <c r="F235" s="5" t="s">
        <v>61</v>
      </c>
    </row>
    <row r="236" spans="1:6">
      <c r="A236" s="18" t="s">
        <v>131</v>
      </c>
      <c r="B236" s="19" t="s">
        <v>130</v>
      </c>
      <c r="C236" s="8">
        <v>269400</v>
      </c>
      <c r="D236" s="17">
        <f t="shared" si="2"/>
        <v>14.03125</v>
      </c>
      <c r="E236" s="20">
        <v>112.25</v>
      </c>
      <c r="F236" s="5" t="s">
        <v>61</v>
      </c>
    </row>
    <row r="237" spans="1:6">
      <c r="A237" s="9" t="s">
        <v>137</v>
      </c>
      <c r="B237" s="19" t="s">
        <v>68</v>
      </c>
      <c r="C237" s="47">
        <v>238875</v>
      </c>
      <c r="D237" s="17">
        <f t="shared" si="2"/>
        <v>14.21875</v>
      </c>
      <c r="E237" s="48">
        <v>113.75</v>
      </c>
      <c r="F237" s="5" t="s">
        <v>65</v>
      </c>
    </row>
  </sheetData>
  <autoFilter ref="A1:F237" xr:uid="{00000000-0001-0000-0000-000000000000}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EA88-968D-46B9-9803-B52A56FCE5F1}">
  <dimension ref="A1:N139"/>
  <sheetViews>
    <sheetView tabSelected="1" topLeftCell="A115" workbookViewId="0">
      <selection activeCell="A137" sqref="A137:XFD137"/>
    </sheetView>
  </sheetViews>
  <sheetFormatPr baseColWidth="10" defaultRowHeight="14.4"/>
  <cols>
    <col min="1" max="1" width="13" bestFit="1" customWidth="1"/>
    <col min="2" max="2" width="41" bestFit="1" customWidth="1"/>
    <col min="3" max="3" width="14.77734375" style="8" bestFit="1" customWidth="1"/>
    <col min="4" max="4" width="5" style="5" bestFit="1" customWidth="1"/>
    <col min="5" max="5" width="7" style="5" bestFit="1" customWidth="1"/>
    <col min="6" max="6" width="16.77734375" customWidth="1"/>
    <col min="7" max="7" width="15.44140625" bestFit="1" customWidth="1"/>
    <col min="8" max="8" width="41" bestFit="1" customWidth="1"/>
    <col min="9" max="9" width="16.21875" bestFit="1" customWidth="1"/>
    <col min="10" max="10" width="13" bestFit="1" customWidth="1"/>
    <col min="12" max="12" width="11.33203125" bestFit="1" customWidth="1"/>
  </cols>
  <sheetData>
    <row r="1" spans="1:14">
      <c r="A1" s="96" t="s">
        <v>259</v>
      </c>
      <c r="B1" s="96"/>
      <c r="C1" s="96"/>
      <c r="D1" s="96"/>
      <c r="E1" s="96"/>
      <c r="G1" s="96" t="s">
        <v>321</v>
      </c>
      <c r="H1" s="96"/>
      <c r="I1" s="96"/>
      <c r="J1" s="96"/>
      <c r="K1" s="96"/>
      <c r="L1" s="96"/>
      <c r="M1" s="96"/>
      <c r="N1" s="96"/>
    </row>
    <row r="2" spans="1:14" ht="26.4">
      <c r="A2" s="23" t="s">
        <v>0</v>
      </c>
      <c r="B2" s="23" t="s">
        <v>1</v>
      </c>
      <c r="C2" s="24" t="s">
        <v>62</v>
      </c>
      <c r="D2" s="23" t="s">
        <v>58</v>
      </c>
      <c r="E2" s="23" t="s">
        <v>59</v>
      </c>
      <c r="G2" s="25" t="s">
        <v>260</v>
      </c>
      <c r="H2" s="25" t="s">
        <v>261</v>
      </c>
      <c r="I2" s="25" t="s">
        <v>262</v>
      </c>
      <c r="J2" s="25" t="s">
        <v>263</v>
      </c>
      <c r="K2" s="25" t="s">
        <v>264</v>
      </c>
      <c r="L2" s="25" t="s">
        <v>265</v>
      </c>
      <c r="M2" s="25" t="s">
        <v>266</v>
      </c>
      <c r="N2" s="25" t="s">
        <v>267</v>
      </c>
    </row>
    <row r="3" spans="1:14" s="34" customFormat="1">
      <c r="A3" s="49" t="s">
        <v>189</v>
      </c>
      <c r="B3" s="49" t="s">
        <v>138</v>
      </c>
      <c r="C3" s="50">
        <v>85000</v>
      </c>
      <c r="D3" s="51">
        <v>6.25</v>
      </c>
      <c r="E3" s="51">
        <v>50</v>
      </c>
      <c r="F3" s="49" t="s">
        <v>332</v>
      </c>
      <c r="G3" s="34" t="s">
        <v>268</v>
      </c>
      <c r="H3" s="34" t="s">
        <v>269</v>
      </c>
      <c r="I3" s="34" t="s">
        <v>271</v>
      </c>
      <c r="J3" s="34" t="s">
        <v>272</v>
      </c>
      <c r="K3" s="34" t="s">
        <v>273</v>
      </c>
      <c r="L3" s="34" t="s">
        <v>274</v>
      </c>
      <c r="M3" s="34" t="s">
        <v>278</v>
      </c>
      <c r="N3" s="34" t="s">
        <v>273</v>
      </c>
    </row>
    <row r="4" spans="1:14">
      <c r="A4" s="102" t="s">
        <v>2</v>
      </c>
      <c r="B4" s="102" t="s">
        <v>3</v>
      </c>
      <c r="C4" s="103">
        <v>825000</v>
      </c>
      <c r="D4" s="104">
        <v>30</v>
      </c>
      <c r="E4" s="104">
        <v>240</v>
      </c>
      <c r="G4" t="s">
        <v>280</v>
      </c>
      <c r="H4" t="s">
        <v>281</v>
      </c>
      <c r="I4" t="s">
        <v>282</v>
      </c>
      <c r="J4" t="s">
        <v>283</v>
      </c>
      <c r="K4" t="s">
        <v>283</v>
      </c>
      <c r="L4" t="s">
        <v>284</v>
      </c>
      <c r="M4" t="s">
        <v>285</v>
      </c>
      <c r="N4" t="s">
        <v>285</v>
      </c>
    </row>
    <row r="5" spans="1:14">
      <c r="A5" s="102" t="s">
        <v>67</v>
      </c>
      <c r="B5" s="102" t="s">
        <v>66</v>
      </c>
      <c r="C5" s="103">
        <v>891000</v>
      </c>
      <c r="D5" s="104">
        <v>30</v>
      </c>
      <c r="E5" s="104">
        <v>240</v>
      </c>
      <c r="G5" s="34" t="s">
        <v>286</v>
      </c>
      <c r="H5" s="34" t="s">
        <v>287</v>
      </c>
      <c r="I5" s="34" t="s">
        <v>288</v>
      </c>
      <c r="J5" s="34" t="s">
        <v>289</v>
      </c>
      <c r="K5" s="34" t="s">
        <v>289</v>
      </c>
      <c r="L5" s="34" t="s">
        <v>284</v>
      </c>
      <c r="M5" s="34" t="s">
        <v>285</v>
      </c>
      <c r="N5" s="34" t="s">
        <v>285</v>
      </c>
    </row>
    <row r="6" spans="1:14">
      <c r="A6" s="102" t="s">
        <v>190</v>
      </c>
      <c r="B6" s="102" t="s">
        <v>139</v>
      </c>
      <c r="C6" s="103">
        <v>438725</v>
      </c>
      <c r="D6" s="104">
        <v>23.84375</v>
      </c>
      <c r="E6" s="104">
        <v>190.75</v>
      </c>
      <c r="G6" s="31" t="s">
        <v>290</v>
      </c>
      <c r="H6" s="31" t="s">
        <v>291</v>
      </c>
      <c r="I6" s="31" t="s">
        <v>292</v>
      </c>
      <c r="J6" s="31" t="s">
        <v>275</v>
      </c>
      <c r="K6" s="31" t="s">
        <v>275</v>
      </c>
      <c r="L6" s="31" t="s">
        <v>284</v>
      </c>
      <c r="M6" s="31" t="s">
        <v>285</v>
      </c>
      <c r="N6" s="31" t="s">
        <v>285</v>
      </c>
    </row>
    <row r="7" spans="1:14">
      <c r="A7" s="102" t="s">
        <v>135</v>
      </c>
      <c r="B7" s="102" t="s">
        <v>132</v>
      </c>
      <c r="C7" s="103">
        <v>530400</v>
      </c>
      <c r="D7" s="104">
        <v>27.625</v>
      </c>
      <c r="E7" s="104">
        <v>221</v>
      </c>
      <c r="G7" t="s">
        <v>293</v>
      </c>
      <c r="H7" t="s">
        <v>294</v>
      </c>
      <c r="I7" t="s">
        <v>295</v>
      </c>
      <c r="J7" t="s">
        <v>276</v>
      </c>
      <c r="K7" t="s">
        <v>296</v>
      </c>
      <c r="L7" t="s">
        <v>279</v>
      </c>
      <c r="M7" t="s">
        <v>285</v>
      </c>
      <c r="N7" t="s">
        <v>285</v>
      </c>
    </row>
    <row r="8" spans="1:14">
      <c r="A8" s="102" t="s">
        <v>191</v>
      </c>
      <c r="B8" s="102" t="s">
        <v>140</v>
      </c>
      <c r="C8" s="103">
        <v>467475</v>
      </c>
      <c r="D8" s="104">
        <v>25.40625</v>
      </c>
      <c r="E8" s="104">
        <v>203.25</v>
      </c>
      <c r="G8" t="s">
        <v>297</v>
      </c>
      <c r="H8" t="s">
        <v>298</v>
      </c>
      <c r="I8" t="s">
        <v>299</v>
      </c>
      <c r="J8" t="s">
        <v>300</v>
      </c>
      <c r="K8" t="s">
        <v>301</v>
      </c>
      <c r="L8" t="s">
        <v>279</v>
      </c>
      <c r="M8" t="s">
        <v>285</v>
      </c>
      <c r="N8" t="s">
        <v>285</v>
      </c>
    </row>
    <row r="9" spans="1:14" s="34" customFormat="1">
      <c r="A9" s="102" t="s">
        <v>192</v>
      </c>
      <c r="B9" s="102" t="s">
        <v>141</v>
      </c>
      <c r="C9" s="103">
        <v>503700</v>
      </c>
      <c r="D9" s="104">
        <v>27.375</v>
      </c>
      <c r="E9" s="104">
        <v>219</v>
      </c>
      <c r="G9" s="34" t="s">
        <v>302</v>
      </c>
      <c r="H9" s="34" t="s">
        <v>303</v>
      </c>
      <c r="I9" s="34" t="s">
        <v>304</v>
      </c>
      <c r="J9" s="34" t="s">
        <v>305</v>
      </c>
      <c r="K9" s="34" t="s">
        <v>305</v>
      </c>
      <c r="L9" s="34" t="s">
        <v>284</v>
      </c>
      <c r="M9" s="34" t="s">
        <v>285</v>
      </c>
      <c r="N9" s="34" t="s">
        <v>285</v>
      </c>
    </row>
    <row r="10" spans="1:14">
      <c r="A10" s="102" t="s">
        <v>82</v>
      </c>
      <c r="B10" s="102" t="s">
        <v>81</v>
      </c>
      <c r="C10" s="103">
        <v>354025</v>
      </c>
      <c r="D10" s="104">
        <v>25.03125</v>
      </c>
      <c r="E10" s="104">
        <v>200.25</v>
      </c>
      <c r="G10" t="s">
        <v>306</v>
      </c>
      <c r="H10" t="s">
        <v>307</v>
      </c>
      <c r="I10" t="s">
        <v>308</v>
      </c>
      <c r="J10" t="s">
        <v>305</v>
      </c>
      <c r="K10" t="s">
        <v>309</v>
      </c>
      <c r="L10" t="s">
        <v>279</v>
      </c>
      <c r="M10" t="s">
        <v>285</v>
      </c>
      <c r="N10" t="s">
        <v>285</v>
      </c>
    </row>
    <row r="11" spans="1:14">
      <c r="A11" s="102" t="s">
        <v>193</v>
      </c>
      <c r="B11" s="102" t="s">
        <v>142</v>
      </c>
      <c r="C11" s="103">
        <v>432400</v>
      </c>
      <c r="D11" s="104">
        <v>23.5</v>
      </c>
      <c r="E11" s="104">
        <v>188</v>
      </c>
      <c r="G11" t="s">
        <v>293</v>
      </c>
      <c r="H11" t="s">
        <v>294</v>
      </c>
      <c r="I11" t="s">
        <v>310</v>
      </c>
      <c r="J11" t="s">
        <v>277</v>
      </c>
      <c r="K11" t="s">
        <v>311</v>
      </c>
      <c r="L11" t="s">
        <v>274</v>
      </c>
      <c r="M11" t="s">
        <v>312</v>
      </c>
      <c r="N11" t="s">
        <v>313</v>
      </c>
    </row>
    <row r="12" spans="1:14">
      <c r="A12" s="102" t="s">
        <v>194</v>
      </c>
      <c r="B12" s="102" t="s">
        <v>143</v>
      </c>
      <c r="C12" s="103">
        <v>467475</v>
      </c>
      <c r="D12" s="104">
        <v>25.40625</v>
      </c>
      <c r="E12" s="104">
        <v>203.25</v>
      </c>
      <c r="G12" t="s">
        <v>280</v>
      </c>
      <c r="H12" t="s">
        <v>281</v>
      </c>
      <c r="I12" t="s">
        <v>314</v>
      </c>
      <c r="J12" t="s">
        <v>315</v>
      </c>
      <c r="K12" t="s">
        <v>316</v>
      </c>
      <c r="L12" t="s">
        <v>270</v>
      </c>
      <c r="M12" t="s">
        <v>285</v>
      </c>
      <c r="N12" t="s">
        <v>285</v>
      </c>
    </row>
    <row r="13" spans="1:14">
      <c r="A13" s="102" t="s">
        <v>6</v>
      </c>
      <c r="B13" s="102" t="s">
        <v>7</v>
      </c>
      <c r="C13" s="103">
        <v>510000</v>
      </c>
      <c r="D13" s="104">
        <v>30</v>
      </c>
      <c r="E13" s="104">
        <v>240</v>
      </c>
      <c r="G13" t="s">
        <v>317</v>
      </c>
      <c r="H13" t="s">
        <v>318</v>
      </c>
      <c r="I13" t="s">
        <v>319</v>
      </c>
      <c r="J13" t="s">
        <v>273</v>
      </c>
      <c r="K13" t="s">
        <v>320</v>
      </c>
      <c r="L13" t="s">
        <v>279</v>
      </c>
      <c r="M13" t="s">
        <v>285</v>
      </c>
      <c r="N13" t="s">
        <v>285</v>
      </c>
    </row>
    <row r="14" spans="1:14">
      <c r="A14" s="102" t="s">
        <v>84</v>
      </c>
      <c r="B14" s="102" t="s">
        <v>83</v>
      </c>
      <c r="C14" s="103">
        <v>558600</v>
      </c>
      <c r="D14" s="104">
        <v>28.09375</v>
      </c>
      <c r="E14" s="104">
        <v>224.75</v>
      </c>
    </row>
    <row r="15" spans="1:14">
      <c r="A15" s="102" t="s">
        <v>8</v>
      </c>
      <c r="B15" s="102" t="s">
        <v>9</v>
      </c>
      <c r="C15" s="103">
        <v>600000</v>
      </c>
      <c r="D15" s="104">
        <v>30</v>
      </c>
      <c r="E15" s="104">
        <v>240</v>
      </c>
    </row>
    <row r="16" spans="1:14">
      <c r="A16" s="102" t="s">
        <v>137</v>
      </c>
      <c r="B16" s="102" t="s">
        <v>68</v>
      </c>
      <c r="C16" s="103">
        <v>628425</v>
      </c>
      <c r="D16" s="104">
        <v>30</v>
      </c>
      <c r="E16" s="104">
        <v>240</v>
      </c>
    </row>
    <row r="17" spans="1:6">
      <c r="A17" s="102" t="s">
        <v>195</v>
      </c>
      <c r="B17" s="102" t="s">
        <v>144</v>
      </c>
      <c r="C17" s="103">
        <v>367200</v>
      </c>
      <c r="D17" s="104">
        <v>25.5</v>
      </c>
      <c r="E17" s="104">
        <v>204</v>
      </c>
    </row>
    <row r="18" spans="1:6">
      <c r="A18" s="102" t="s">
        <v>86</v>
      </c>
      <c r="B18" s="102" t="s">
        <v>85</v>
      </c>
      <c r="C18" s="103">
        <v>386325</v>
      </c>
      <c r="D18" s="104">
        <v>28.40625</v>
      </c>
      <c r="E18" s="104">
        <v>227.25</v>
      </c>
    </row>
    <row r="19" spans="1:6">
      <c r="A19" s="102" t="s">
        <v>196</v>
      </c>
      <c r="B19" s="102" t="s">
        <v>145</v>
      </c>
      <c r="C19" s="103">
        <v>363375</v>
      </c>
      <c r="D19" s="104">
        <v>26.71875</v>
      </c>
      <c r="E19" s="104">
        <v>213.75</v>
      </c>
    </row>
    <row r="20" spans="1:6">
      <c r="A20" s="49" t="s">
        <v>197</v>
      </c>
      <c r="B20" s="49" t="s">
        <v>146</v>
      </c>
      <c r="C20" s="50">
        <v>465750</v>
      </c>
      <c r="D20" s="51">
        <v>25.3125</v>
      </c>
      <c r="E20" s="51">
        <v>202.5</v>
      </c>
    </row>
    <row r="21" spans="1:6">
      <c r="A21" s="102" t="s">
        <v>198</v>
      </c>
      <c r="B21" s="102" t="s">
        <v>147</v>
      </c>
      <c r="C21" s="103">
        <v>337875</v>
      </c>
      <c r="D21" s="104">
        <v>24.84375</v>
      </c>
      <c r="E21" s="104">
        <v>198.75</v>
      </c>
    </row>
    <row r="22" spans="1:6">
      <c r="A22" s="49" t="s">
        <v>199</v>
      </c>
      <c r="B22" s="49" t="s">
        <v>148</v>
      </c>
      <c r="C22" s="50">
        <v>323000</v>
      </c>
      <c r="D22" s="51">
        <v>23.75</v>
      </c>
      <c r="E22" s="51">
        <v>190</v>
      </c>
    </row>
    <row r="23" spans="1:6">
      <c r="A23" t="s">
        <v>88</v>
      </c>
      <c r="B23" t="s">
        <v>87</v>
      </c>
      <c r="C23" s="8">
        <v>540600</v>
      </c>
      <c r="D23" s="52">
        <v>27.65625</v>
      </c>
      <c r="E23" s="52">
        <v>221.25</v>
      </c>
    </row>
    <row r="24" spans="1:6">
      <c r="A24" t="s">
        <v>200</v>
      </c>
      <c r="B24" t="s">
        <v>149</v>
      </c>
      <c r="C24" s="8">
        <v>364500</v>
      </c>
      <c r="D24" s="52">
        <v>25.3125</v>
      </c>
      <c r="E24" s="52">
        <v>202.5</v>
      </c>
    </row>
    <row r="25" spans="1:6">
      <c r="A25" t="s">
        <v>201</v>
      </c>
      <c r="B25" t="s">
        <v>150</v>
      </c>
      <c r="C25" s="8">
        <v>532500</v>
      </c>
      <c r="D25" s="52">
        <v>26.625</v>
      </c>
      <c r="E25" s="52">
        <v>213</v>
      </c>
    </row>
    <row r="26" spans="1:6">
      <c r="A26" t="s">
        <v>202</v>
      </c>
      <c r="B26" t="s">
        <v>151</v>
      </c>
      <c r="C26" s="8">
        <v>182850</v>
      </c>
      <c r="D26" s="52">
        <v>9.9375</v>
      </c>
      <c r="E26" s="52">
        <v>79.5</v>
      </c>
      <c r="F26" t="s">
        <v>333</v>
      </c>
    </row>
    <row r="27" spans="1:6">
      <c r="A27" t="s">
        <v>90</v>
      </c>
      <c r="B27" t="s">
        <v>89</v>
      </c>
      <c r="C27" s="8">
        <v>384300</v>
      </c>
      <c r="D27" s="52">
        <v>26.6875</v>
      </c>
      <c r="E27" s="52">
        <v>213.5</v>
      </c>
    </row>
    <row r="28" spans="1:6">
      <c r="A28" t="s">
        <v>10</v>
      </c>
      <c r="B28" t="s">
        <v>11</v>
      </c>
      <c r="C28" s="8">
        <v>1300000</v>
      </c>
      <c r="D28" s="52">
        <v>30</v>
      </c>
      <c r="E28" s="52">
        <v>240</v>
      </c>
    </row>
    <row r="29" spans="1:6">
      <c r="A29" t="s">
        <v>203</v>
      </c>
      <c r="B29" t="s">
        <v>152</v>
      </c>
      <c r="C29" s="8">
        <v>364500</v>
      </c>
      <c r="D29" s="52">
        <v>25.3125</v>
      </c>
      <c r="E29" s="52">
        <v>202.5</v>
      </c>
    </row>
    <row r="30" spans="1:6">
      <c r="A30" t="s">
        <v>70</v>
      </c>
      <c r="B30" t="s">
        <v>69</v>
      </c>
      <c r="C30" s="8">
        <v>496800</v>
      </c>
      <c r="D30" s="52">
        <v>25.875</v>
      </c>
      <c r="E30" s="52">
        <v>207</v>
      </c>
    </row>
    <row r="31" spans="1:6">
      <c r="A31" t="s">
        <v>12</v>
      </c>
      <c r="B31" t="s">
        <v>13</v>
      </c>
      <c r="C31" s="8">
        <v>500000</v>
      </c>
      <c r="D31" s="52">
        <v>30</v>
      </c>
      <c r="E31" s="52">
        <v>240</v>
      </c>
    </row>
    <row r="32" spans="1:6">
      <c r="A32" s="49" t="s">
        <v>204</v>
      </c>
      <c r="B32" s="49" t="s">
        <v>153</v>
      </c>
      <c r="C32" s="50">
        <v>302450</v>
      </c>
      <c r="D32" s="51">
        <v>16.4375</v>
      </c>
      <c r="E32" s="51">
        <v>131.5</v>
      </c>
    </row>
    <row r="33" spans="1:5">
      <c r="A33" t="s">
        <v>205</v>
      </c>
      <c r="B33" t="s">
        <v>154</v>
      </c>
      <c r="C33" s="8">
        <v>339575</v>
      </c>
      <c r="D33" s="52">
        <v>24.96875</v>
      </c>
      <c r="E33" s="52">
        <v>199.75</v>
      </c>
    </row>
    <row r="34" spans="1:5">
      <c r="A34" t="s">
        <v>14</v>
      </c>
      <c r="B34" t="s">
        <v>15</v>
      </c>
      <c r="C34" s="8">
        <v>403605.5</v>
      </c>
      <c r="D34" s="52">
        <v>30</v>
      </c>
      <c r="E34" s="52">
        <v>240</v>
      </c>
    </row>
    <row r="35" spans="1:5">
      <c r="A35" t="s">
        <v>16</v>
      </c>
      <c r="B35" t="s">
        <v>17</v>
      </c>
      <c r="C35" s="8">
        <v>1250000</v>
      </c>
      <c r="D35" s="52">
        <v>30</v>
      </c>
      <c r="E35" s="52">
        <v>240</v>
      </c>
    </row>
    <row r="36" spans="1:5">
      <c r="A36" t="s">
        <v>206</v>
      </c>
      <c r="B36" t="s">
        <v>155</v>
      </c>
      <c r="C36" s="8">
        <v>465750</v>
      </c>
      <c r="D36" s="52">
        <v>25.3125</v>
      </c>
      <c r="E36" s="52">
        <v>202.5</v>
      </c>
    </row>
    <row r="37" spans="1:5">
      <c r="A37" t="s">
        <v>207</v>
      </c>
      <c r="B37" t="s">
        <v>156</v>
      </c>
      <c r="C37" s="8">
        <v>368550</v>
      </c>
      <c r="D37" s="52">
        <v>25.59375</v>
      </c>
      <c r="E37" s="52">
        <v>204.75</v>
      </c>
    </row>
    <row r="38" spans="1:5">
      <c r="A38" t="s">
        <v>208</v>
      </c>
      <c r="B38" t="s">
        <v>157</v>
      </c>
      <c r="C38" s="8">
        <v>361800</v>
      </c>
      <c r="D38" s="52">
        <v>25.125</v>
      </c>
      <c r="E38" s="52">
        <v>201</v>
      </c>
    </row>
    <row r="39" spans="1:5">
      <c r="A39" s="49" t="s">
        <v>240</v>
      </c>
      <c r="B39" s="49" t="s">
        <v>241</v>
      </c>
      <c r="C39" s="50">
        <v>138000</v>
      </c>
      <c r="D39" s="51">
        <v>7.5</v>
      </c>
      <c r="E39" s="51">
        <v>60</v>
      </c>
    </row>
    <row r="40" spans="1:5">
      <c r="A40" t="s">
        <v>209</v>
      </c>
      <c r="B40" t="s">
        <v>158</v>
      </c>
      <c r="C40" s="8">
        <v>336600</v>
      </c>
      <c r="D40" s="52">
        <v>24.75</v>
      </c>
      <c r="E40" s="52">
        <v>198</v>
      </c>
    </row>
    <row r="41" spans="1:5">
      <c r="A41" t="s">
        <v>92</v>
      </c>
      <c r="B41" t="s">
        <v>91</v>
      </c>
      <c r="C41" s="8">
        <v>418500</v>
      </c>
      <c r="D41" s="52">
        <v>29.0625</v>
      </c>
      <c r="E41" s="52">
        <v>232.5</v>
      </c>
    </row>
    <row r="42" spans="1:5">
      <c r="A42" t="s">
        <v>210</v>
      </c>
      <c r="B42" t="s">
        <v>159</v>
      </c>
      <c r="C42" s="8">
        <v>426250</v>
      </c>
      <c r="D42" s="52">
        <v>24.21875</v>
      </c>
      <c r="E42" s="52">
        <v>193.75</v>
      </c>
    </row>
    <row r="43" spans="1:5">
      <c r="A43" t="s">
        <v>211</v>
      </c>
      <c r="B43" t="s">
        <v>160</v>
      </c>
      <c r="C43" s="8">
        <v>528450</v>
      </c>
      <c r="D43" s="52">
        <v>25.40625</v>
      </c>
      <c r="E43" s="52">
        <v>203.25</v>
      </c>
    </row>
    <row r="44" spans="1:5">
      <c r="A44" t="s">
        <v>94</v>
      </c>
      <c r="B44" t="s">
        <v>93</v>
      </c>
      <c r="C44" s="8">
        <v>391425</v>
      </c>
      <c r="D44" s="52">
        <v>28.78125</v>
      </c>
      <c r="E44" s="52">
        <v>230.25</v>
      </c>
    </row>
    <row r="45" spans="1:5">
      <c r="A45" t="s">
        <v>212</v>
      </c>
      <c r="B45" t="s">
        <v>161</v>
      </c>
      <c r="C45" s="8">
        <v>470925</v>
      </c>
      <c r="D45" s="52">
        <v>25.59375</v>
      </c>
      <c r="E45" s="52">
        <v>204.75</v>
      </c>
    </row>
    <row r="46" spans="1:5">
      <c r="A46" t="s">
        <v>213</v>
      </c>
      <c r="B46" t="s">
        <v>162</v>
      </c>
      <c r="C46" s="8">
        <v>348075</v>
      </c>
      <c r="D46" s="52">
        <v>25.59375</v>
      </c>
      <c r="E46" s="52">
        <v>204.75</v>
      </c>
    </row>
    <row r="47" spans="1:5">
      <c r="A47" t="s">
        <v>18</v>
      </c>
      <c r="B47" t="s">
        <v>19</v>
      </c>
      <c r="C47" s="8">
        <v>131984.15</v>
      </c>
      <c r="D47" s="52">
        <v>30</v>
      </c>
      <c r="E47" s="52">
        <v>240</v>
      </c>
    </row>
    <row r="48" spans="1:5">
      <c r="A48" t="s">
        <v>214</v>
      </c>
      <c r="B48" t="s">
        <v>163</v>
      </c>
      <c r="C48" s="8">
        <v>465750</v>
      </c>
      <c r="D48" s="52">
        <v>25.3125</v>
      </c>
      <c r="E48" s="52">
        <v>202.5</v>
      </c>
    </row>
    <row r="49" spans="1:6">
      <c r="A49" t="s">
        <v>215</v>
      </c>
      <c r="B49" t="s">
        <v>164</v>
      </c>
      <c r="C49" s="8">
        <v>445500</v>
      </c>
      <c r="D49" s="52">
        <v>25.3125</v>
      </c>
      <c r="E49" s="52">
        <v>202.5</v>
      </c>
    </row>
    <row r="50" spans="1:6">
      <c r="A50" t="s">
        <v>20</v>
      </c>
      <c r="B50" t="s">
        <v>21</v>
      </c>
      <c r="C50" s="8">
        <v>1250000</v>
      </c>
      <c r="D50" s="52">
        <v>30</v>
      </c>
      <c r="E50" s="52">
        <v>240</v>
      </c>
    </row>
    <row r="51" spans="1:6">
      <c r="A51" t="s">
        <v>216</v>
      </c>
      <c r="B51" t="s">
        <v>165</v>
      </c>
      <c r="C51" s="8">
        <v>472650</v>
      </c>
      <c r="D51" s="52">
        <v>25.6875</v>
      </c>
      <c r="E51" s="52">
        <v>205.5</v>
      </c>
      <c r="F51" t="s">
        <v>331</v>
      </c>
    </row>
    <row r="52" spans="1:6">
      <c r="A52" s="49" t="s">
        <v>217</v>
      </c>
      <c r="B52" s="49" t="s">
        <v>166</v>
      </c>
      <c r="C52" s="50">
        <v>240125</v>
      </c>
      <c r="D52" s="51">
        <v>17.65625</v>
      </c>
      <c r="E52" s="51">
        <v>141.25</v>
      </c>
    </row>
    <row r="53" spans="1:6">
      <c r="A53" t="s">
        <v>72</v>
      </c>
      <c r="B53" t="s">
        <v>71</v>
      </c>
      <c r="C53" s="8">
        <v>59500</v>
      </c>
      <c r="D53" s="52">
        <v>4.375</v>
      </c>
      <c r="E53" s="52">
        <v>35</v>
      </c>
    </row>
    <row r="54" spans="1:6">
      <c r="A54" t="s">
        <v>96</v>
      </c>
      <c r="B54" t="s">
        <v>95</v>
      </c>
      <c r="C54" s="8">
        <v>370800</v>
      </c>
      <c r="D54" s="52">
        <v>25.75</v>
      </c>
      <c r="E54" s="52">
        <v>206</v>
      </c>
    </row>
    <row r="55" spans="1:6">
      <c r="A55" t="s">
        <v>98</v>
      </c>
      <c r="B55" t="s">
        <v>97</v>
      </c>
      <c r="C55" s="8">
        <v>493350</v>
      </c>
      <c r="D55" s="52">
        <v>26.8125</v>
      </c>
      <c r="E55" s="52">
        <v>214.5</v>
      </c>
    </row>
    <row r="56" spans="1:6">
      <c r="A56" t="s">
        <v>125</v>
      </c>
      <c r="B56" t="s">
        <v>124</v>
      </c>
      <c r="C56" s="8">
        <v>439837.5</v>
      </c>
      <c r="D56" s="52">
        <v>29.71875</v>
      </c>
      <c r="E56" s="52">
        <v>237.75</v>
      </c>
    </row>
    <row r="57" spans="1:6">
      <c r="A57" t="s">
        <v>100</v>
      </c>
      <c r="B57" t="s">
        <v>99</v>
      </c>
      <c r="C57" s="8">
        <v>531600</v>
      </c>
      <c r="D57" s="52">
        <v>27.6875</v>
      </c>
      <c r="E57" s="52">
        <v>221.5</v>
      </c>
    </row>
    <row r="58" spans="1:6">
      <c r="A58" t="s">
        <v>218</v>
      </c>
      <c r="B58" t="s">
        <v>167</v>
      </c>
      <c r="C58" s="8">
        <v>450800</v>
      </c>
      <c r="D58" s="52">
        <v>24.5</v>
      </c>
      <c r="E58" s="52">
        <v>196</v>
      </c>
    </row>
    <row r="59" spans="1:6">
      <c r="A59" t="s">
        <v>219</v>
      </c>
      <c r="B59" t="s">
        <v>168</v>
      </c>
      <c r="C59" s="8">
        <v>421850</v>
      </c>
      <c r="D59" s="52">
        <v>23.96875</v>
      </c>
      <c r="E59" s="52">
        <v>191.75</v>
      </c>
    </row>
    <row r="60" spans="1:6">
      <c r="A60" t="s">
        <v>102</v>
      </c>
      <c r="B60" t="s">
        <v>101</v>
      </c>
      <c r="C60" s="8">
        <v>391950</v>
      </c>
      <c r="D60" s="52">
        <v>27.21875</v>
      </c>
      <c r="E60" s="52">
        <v>217.75</v>
      </c>
    </row>
    <row r="61" spans="1:6">
      <c r="A61" t="s">
        <v>127</v>
      </c>
      <c r="B61" t="s">
        <v>126</v>
      </c>
      <c r="C61" s="8">
        <v>702086</v>
      </c>
      <c r="D61" s="52">
        <v>39.891249999999999</v>
      </c>
      <c r="E61" s="52">
        <v>319.13</v>
      </c>
    </row>
    <row r="62" spans="1:6">
      <c r="A62" s="49" t="s">
        <v>246</v>
      </c>
      <c r="B62" s="49" t="s">
        <v>247</v>
      </c>
      <c r="C62" s="50">
        <v>136000</v>
      </c>
      <c r="D62" s="51">
        <v>10</v>
      </c>
      <c r="E62" s="51">
        <v>80</v>
      </c>
      <c r="F62" s="49" t="s">
        <v>331</v>
      </c>
    </row>
    <row r="63" spans="1:6">
      <c r="A63" t="s">
        <v>104</v>
      </c>
      <c r="B63" t="s">
        <v>103</v>
      </c>
      <c r="C63" s="8">
        <v>389400</v>
      </c>
      <c r="D63" s="52">
        <v>20.28125</v>
      </c>
      <c r="E63" s="52">
        <v>162.25</v>
      </c>
    </row>
    <row r="64" spans="1:6">
      <c r="A64" t="s">
        <v>22</v>
      </c>
      <c r="B64" t="s">
        <v>23</v>
      </c>
      <c r="C64" s="8">
        <v>495000</v>
      </c>
      <c r="D64" s="52">
        <v>30</v>
      </c>
      <c r="E64" s="52">
        <v>240</v>
      </c>
    </row>
    <row r="65" spans="1:6">
      <c r="A65" t="s">
        <v>220</v>
      </c>
      <c r="B65" t="s">
        <v>169</v>
      </c>
      <c r="C65" s="8">
        <v>363375</v>
      </c>
      <c r="D65" s="52">
        <v>26.71875</v>
      </c>
      <c r="E65" s="52">
        <v>213.75</v>
      </c>
    </row>
    <row r="66" spans="1:6">
      <c r="A66" s="49" t="s">
        <v>252</v>
      </c>
      <c r="B66" s="49" t="s">
        <v>253</v>
      </c>
      <c r="C66" s="50">
        <v>56950</v>
      </c>
      <c r="D66" s="51">
        <v>4.1875</v>
      </c>
      <c r="E66" s="51">
        <v>33.5</v>
      </c>
    </row>
    <row r="67" spans="1:6">
      <c r="A67" t="s">
        <v>107</v>
      </c>
      <c r="B67" t="s">
        <v>133</v>
      </c>
      <c r="C67" s="8">
        <v>316825</v>
      </c>
      <c r="D67" s="52">
        <v>17.21875</v>
      </c>
      <c r="E67" s="52">
        <v>137.75</v>
      </c>
    </row>
    <row r="68" spans="1:6">
      <c r="A68" t="s">
        <v>106</v>
      </c>
      <c r="B68" t="s">
        <v>105</v>
      </c>
      <c r="C68" s="8">
        <v>475200</v>
      </c>
      <c r="D68" s="52">
        <v>24.75</v>
      </c>
      <c r="E68" s="52">
        <v>198</v>
      </c>
    </row>
    <row r="69" spans="1:6">
      <c r="A69" t="s">
        <v>221</v>
      </c>
      <c r="B69" t="s">
        <v>170</v>
      </c>
      <c r="C69" s="8">
        <v>465750</v>
      </c>
      <c r="D69" s="52">
        <v>25.3125</v>
      </c>
      <c r="E69" s="52">
        <v>202.5</v>
      </c>
    </row>
    <row r="70" spans="1:6">
      <c r="A70" t="s">
        <v>129</v>
      </c>
      <c r="B70" t="s">
        <v>128</v>
      </c>
      <c r="C70" s="8">
        <v>468000</v>
      </c>
      <c r="D70" s="52">
        <v>29.25</v>
      </c>
      <c r="E70" s="52">
        <v>234</v>
      </c>
    </row>
    <row r="71" spans="1:6">
      <c r="A71" t="s">
        <v>24</v>
      </c>
      <c r="B71" t="s">
        <v>25</v>
      </c>
      <c r="C71" s="8">
        <v>1250000</v>
      </c>
      <c r="D71" s="52">
        <v>30</v>
      </c>
      <c r="E71" s="52">
        <v>240</v>
      </c>
    </row>
    <row r="72" spans="1:6">
      <c r="A72" t="s">
        <v>222</v>
      </c>
      <c r="B72" t="s">
        <v>171</v>
      </c>
      <c r="C72" s="8">
        <v>341700</v>
      </c>
      <c r="D72" s="52">
        <v>25.125</v>
      </c>
      <c r="E72" s="52">
        <v>201</v>
      </c>
    </row>
    <row r="73" spans="1:6">
      <c r="A73" t="s">
        <v>131</v>
      </c>
      <c r="B73" t="s">
        <v>130</v>
      </c>
      <c r="C73" s="8">
        <v>666150</v>
      </c>
      <c r="D73" s="52">
        <v>38.90625</v>
      </c>
      <c r="E73" s="52">
        <v>311.25</v>
      </c>
    </row>
    <row r="74" spans="1:6">
      <c r="A74" t="s">
        <v>26</v>
      </c>
      <c r="B74" t="s">
        <v>27</v>
      </c>
      <c r="C74" s="8">
        <v>570000</v>
      </c>
      <c r="D74" s="52">
        <v>30</v>
      </c>
      <c r="E74" s="52">
        <v>240</v>
      </c>
    </row>
    <row r="75" spans="1:6">
      <c r="A75" t="s">
        <v>28</v>
      </c>
      <c r="B75" t="s">
        <v>29</v>
      </c>
      <c r="C75" s="8">
        <v>100000</v>
      </c>
      <c r="D75" s="52">
        <v>30</v>
      </c>
      <c r="E75" s="52">
        <v>240</v>
      </c>
    </row>
    <row r="76" spans="1:6">
      <c r="A76" t="s">
        <v>223</v>
      </c>
      <c r="B76" t="s">
        <v>172</v>
      </c>
      <c r="C76" s="8">
        <v>365850</v>
      </c>
      <c r="D76" s="52">
        <v>25.40625</v>
      </c>
      <c r="E76" s="52">
        <v>203.25</v>
      </c>
    </row>
    <row r="77" spans="1:6">
      <c r="A77" s="49" t="s">
        <v>254</v>
      </c>
      <c r="B77" s="49" t="s">
        <v>255</v>
      </c>
      <c r="C77" s="50">
        <v>74025</v>
      </c>
      <c r="D77" s="51">
        <v>4.40625</v>
      </c>
      <c r="E77" s="51">
        <v>35.25</v>
      </c>
    </row>
    <row r="78" spans="1:6" s="28" customFormat="1">
      <c r="A78" s="28" t="s">
        <v>109</v>
      </c>
      <c r="B78" s="28" t="s">
        <v>108</v>
      </c>
      <c r="C78" s="29">
        <v>108000</v>
      </c>
      <c r="D78" s="53">
        <v>5.625</v>
      </c>
      <c r="E78" s="53">
        <v>45</v>
      </c>
    </row>
    <row r="79" spans="1:6">
      <c r="A79" t="s">
        <v>224</v>
      </c>
      <c r="B79" t="s">
        <v>173</v>
      </c>
      <c r="C79" s="8">
        <v>345525</v>
      </c>
      <c r="D79" s="52">
        <v>25.40625</v>
      </c>
      <c r="E79" s="52">
        <v>203.25</v>
      </c>
      <c r="F79" t="s">
        <v>333</v>
      </c>
    </row>
    <row r="80" spans="1:6">
      <c r="A80" s="49" t="s">
        <v>225</v>
      </c>
      <c r="B80" s="49" t="s">
        <v>174</v>
      </c>
      <c r="C80" s="50">
        <v>321725</v>
      </c>
      <c r="D80" s="51">
        <v>23.65625</v>
      </c>
      <c r="E80" s="51">
        <v>189.25</v>
      </c>
    </row>
    <row r="81" spans="1:6">
      <c r="A81" s="49" t="s">
        <v>242</v>
      </c>
      <c r="B81" s="49" t="s">
        <v>243</v>
      </c>
      <c r="C81" s="50">
        <v>51000</v>
      </c>
      <c r="D81" s="51">
        <v>3.75</v>
      </c>
      <c r="E81" s="51">
        <v>30</v>
      </c>
    </row>
    <row r="82" spans="1:6">
      <c r="A82" s="49" t="s">
        <v>226</v>
      </c>
      <c r="B82" s="49" t="s">
        <v>175</v>
      </c>
      <c r="C82" s="50">
        <v>438725</v>
      </c>
      <c r="D82" s="51">
        <v>23.84375</v>
      </c>
      <c r="E82" s="51">
        <v>190.75</v>
      </c>
    </row>
    <row r="83" spans="1:6">
      <c r="A83" t="s">
        <v>227</v>
      </c>
      <c r="B83" t="s">
        <v>176</v>
      </c>
      <c r="C83" s="8">
        <v>469200</v>
      </c>
      <c r="D83" s="52">
        <v>25.5</v>
      </c>
      <c r="E83" s="52">
        <v>204</v>
      </c>
    </row>
    <row r="84" spans="1:6">
      <c r="A84" t="s">
        <v>30</v>
      </c>
      <c r="B84" t="s">
        <v>31</v>
      </c>
      <c r="C84" s="8">
        <v>1700000</v>
      </c>
      <c r="D84" s="52">
        <v>30</v>
      </c>
      <c r="E84" s="52">
        <v>240</v>
      </c>
    </row>
    <row r="85" spans="1:6">
      <c r="A85" t="s">
        <v>32</v>
      </c>
      <c r="B85" t="s">
        <v>33</v>
      </c>
      <c r="C85" s="8">
        <v>284166.73333333334</v>
      </c>
      <c r="D85" s="52">
        <v>15</v>
      </c>
      <c r="E85" s="52">
        <v>120</v>
      </c>
    </row>
    <row r="86" spans="1:6">
      <c r="A86" s="49" t="s">
        <v>248</v>
      </c>
      <c r="B86" s="49" t="s">
        <v>249</v>
      </c>
      <c r="C86" s="50">
        <v>243225</v>
      </c>
      <c r="D86" s="51">
        <v>13.21875</v>
      </c>
      <c r="E86" s="51">
        <v>105.75</v>
      </c>
    </row>
    <row r="87" spans="1:6">
      <c r="A87" t="s">
        <v>228</v>
      </c>
      <c r="B87" t="s">
        <v>177</v>
      </c>
      <c r="C87" s="8">
        <v>469200</v>
      </c>
      <c r="D87" s="52">
        <v>25.5</v>
      </c>
      <c r="E87" s="52">
        <v>204</v>
      </c>
    </row>
    <row r="88" spans="1:6">
      <c r="A88" t="s">
        <v>64</v>
      </c>
      <c r="B88" t="s">
        <v>63</v>
      </c>
      <c r="C88" s="8">
        <v>750000</v>
      </c>
      <c r="D88" s="52">
        <v>15</v>
      </c>
      <c r="E88" s="52">
        <v>120</v>
      </c>
      <c r="F88" t="s">
        <v>619</v>
      </c>
    </row>
    <row r="89" spans="1:6">
      <c r="A89" s="49" t="s">
        <v>229</v>
      </c>
      <c r="B89" s="49" t="s">
        <v>178</v>
      </c>
      <c r="C89" s="50">
        <v>344250</v>
      </c>
      <c r="D89" s="51">
        <v>25.3125</v>
      </c>
      <c r="E89" s="51">
        <v>202.5</v>
      </c>
    </row>
    <row r="90" spans="1:6">
      <c r="A90" s="49" t="s">
        <v>74</v>
      </c>
      <c r="B90" s="49" t="s">
        <v>73</v>
      </c>
      <c r="C90" s="50">
        <v>10200</v>
      </c>
      <c r="D90" s="51">
        <v>0.75</v>
      </c>
      <c r="E90" s="51">
        <v>6</v>
      </c>
    </row>
    <row r="91" spans="1:6">
      <c r="A91" s="49" t="s">
        <v>230</v>
      </c>
      <c r="B91" s="49" t="s">
        <v>179</v>
      </c>
      <c r="C91" s="50">
        <v>340650</v>
      </c>
      <c r="D91" s="51">
        <v>23.65625</v>
      </c>
      <c r="E91" s="51">
        <v>189.25</v>
      </c>
    </row>
    <row r="92" spans="1:6" s="34" customFormat="1">
      <c r="A92" s="49" t="s">
        <v>231</v>
      </c>
      <c r="B92" s="49" t="s">
        <v>180</v>
      </c>
      <c r="C92" s="50">
        <v>232900</v>
      </c>
      <c r="D92" s="51">
        <v>17.125</v>
      </c>
      <c r="E92" s="51">
        <v>137</v>
      </c>
    </row>
    <row r="93" spans="1:6">
      <c r="A93" s="49" t="s">
        <v>232</v>
      </c>
      <c r="B93" s="49" t="s">
        <v>181</v>
      </c>
      <c r="C93" s="50">
        <v>438725</v>
      </c>
      <c r="D93" s="51">
        <v>23.84375</v>
      </c>
      <c r="E93" s="51">
        <v>190.75</v>
      </c>
    </row>
    <row r="94" spans="1:6">
      <c r="A94" t="s">
        <v>111</v>
      </c>
      <c r="B94" t="s">
        <v>110</v>
      </c>
      <c r="C94" s="8">
        <v>393550</v>
      </c>
      <c r="D94" s="52">
        <v>28.9375</v>
      </c>
      <c r="E94" s="52">
        <v>231.5</v>
      </c>
    </row>
    <row r="95" spans="1:6">
      <c r="A95" t="s">
        <v>233</v>
      </c>
      <c r="B95" t="s">
        <v>182</v>
      </c>
      <c r="C95" s="8">
        <v>368550</v>
      </c>
      <c r="D95" s="52">
        <v>25.59375</v>
      </c>
      <c r="E95" s="52">
        <v>204.75</v>
      </c>
    </row>
    <row r="96" spans="1:6">
      <c r="A96" t="s">
        <v>234</v>
      </c>
      <c r="B96" t="s">
        <v>183</v>
      </c>
      <c r="C96" s="8">
        <v>345525</v>
      </c>
      <c r="D96" s="52">
        <v>25.40625</v>
      </c>
      <c r="E96" s="52">
        <v>203.25</v>
      </c>
    </row>
    <row r="97" spans="1:5">
      <c r="A97" t="s">
        <v>136</v>
      </c>
      <c r="B97" t="s">
        <v>134</v>
      </c>
      <c r="C97" s="8">
        <v>151800</v>
      </c>
      <c r="D97" s="52">
        <v>8.25</v>
      </c>
      <c r="E97" s="52">
        <v>66</v>
      </c>
    </row>
    <row r="98" spans="1:5">
      <c r="A98" t="s">
        <v>34</v>
      </c>
      <c r="B98" t="s">
        <v>35</v>
      </c>
      <c r="C98" s="8">
        <v>1400000</v>
      </c>
      <c r="D98" s="52">
        <v>30</v>
      </c>
      <c r="E98" s="52">
        <v>240</v>
      </c>
    </row>
    <row r="99" spans="1:5">
      <c r="A99" t="s">
        <v>76</v>
      </c>
      <c r="B99" t="s">
        <v>75</v>
      </c>
      <c r="C99" s="8">
        <v>411000</v>
      </c>
      <c r="D99" s="52">
        <v>28.5</v>
      </c>
      <c r="E99" s="52">
        <v>228</v>
      </c>
    </row>
    <row r="100" spans="1:5">
      <c r="A100" t="s">
        <v>36</v>
      </c>
      <c r="B100" t="s">
        <v>37</v>
      </c>
      <c r="C100" s="8">
        <v>550000</v>
      </c>
      <c r="D100" s="52">
        <v>30</v>
      </c>
      <c r="E100" s="52">
        <v>240</v>
      </c>
    </row>
    <row r="101" spans="1:5">
      <c r="A101" t="s">
        <v>113</v>
      </c>
      <c r="B101" t="s">
        <v>112</v>
      </c>
      <c r="C101" s="8">
        <v>421200</v>
      </c>
      <c r="D101" s="52">
        <v>29.25</v>
      </c>
      <c r="E101" s="52">
        <v>234</v>
      </c>
    </row>
    <row r="102" spans="1:5">
      <c r="A102" t="s">
        <v>38</v>
      </c>
      <c r="B102" t="s">
        <v>39</v>
      </c>
      <c r="C102" s="8">
        <v>800000</v>
      </c>
      <c r="D102" s="52">
        <v>30</v>
      </c>
      <c r="E102" s="52">
        <v>240</v>
      </c>
    </row>
    <row r="103" spans="1:5">
      <c r="A103" t="s">
        <v>115</v>
      </c>
      <c r="B103" t="s">
        <v>114</v>
      </c>
      <c r="C103" s="8">
        <v>459425</v>
      </c>
      <c r="D103" s="52">
        <v>21.4375</v>
      </c>
      <c r="E103" s="52">
        <v>171.5</v>
      </c>
    </row>
    <row r="104" spans="1:5">
      <c r="A104" t="s">
        <v>78</v>
      </c>
      <c r="B104" t="s">
        <v>77</v>
      </c>
      <c r="C104" s="8">
        <v>431400</v>
      </c>
      <c r="D104" s="52">
        <v>30</v>
      </c>
      <c r="E104" s="52">
        <v>240</v>
      </c>
    </row>
    <row r="105" spans="1:5">
      <c r="A105" t="s">
        <v>40</v>
      </c>
      <c r="B105" t="s">
        <v>41</v>
      </c>
      <c r="C105" s="8">
        <v>900000</v>
      </c>
      <c r="D105" s="52">
        <v>30</v>
      </c>
      <c r="E105" s="52">
        <v>240</v>
      </c>
    </row>
    <row r="106" spans="1:5">
      <c r="A106" t="s">
        <v>42</v>
      </c>
      <c r="B106" t="s">
        <v>43</v>
      </c>
      <c r="C106" s="8">
        <v>600000</v>
      </c>
      <c r="D106" s="52">
        <v>30</v>
      </c>
      <c r="E106" s="52">
        <v>240</v>
      </c>
    </row>
    <row r="107" spans="1:5">
      <c r="A107" t="s">
        <v>117</v>
      </c>
      <c r="B107" t="s">
        <v>116</v>
      </c>
      <c r="C107" s="8">
        <v>513450</v>
      </c>
      <c r="D107" s="52">
        <v>30.5625</v>
      </c>
      <c r="E107" s="52">
        <v>244.5</v>
      </c>
    </row>
    <row r="108" spans="1:5">
      <c r="A108" s="49" t="s">
        <v>235</v>
      </c>
      <c r="B108" s="49" t="s">
        <v>184</v>
      </c>
      <c r="C108" s="50">
        <v>286650</v>
      </c>
      <c r="D108" s="51">
        <v>19.90625</v>
      </c>
      <c r="E108" s="51">
        <v>159.25</v>
      </c>
    </row>
    <row r="109" spans="1:5">
      <c r="A109" t="s">
        <v>44</v>
      </c>
      <c r="B109" t="s">
        <v>45</v>
      </c>
      <c r="C109" s="8">
        <v>722650</v>
      </c>
      <c r="D109" s="52">
        <v>30</v>
      </c>
      <c r="E109" s="52">
        <v>240</v>
      </c>
    </row>
    <row r="110" spans="1:5">
      <c r="A110" t="s">
        <v>46</v>
      </c>
      <c r="B110" t="s">
        <v>47</v>
      </c>
      <c r="C110" s="8">
        <v>720000</v>
      </c>
      <c r="D110" s="52">
        <v>30</v>
      </c>
      <c r="E110" s="52">
        <v>240</v>
      </c>
    </row>
    <row r="111" spans="1:5">
      <c r="A111" s="49" t="s">
        <v>244</v>
      </c>
      <c r="B111" s="49" t="s">
        <v>245</v>
      </c>
      <c r="C111" s="50">
        <v>243225</v>
      </c>
      <c r="D111" s="51">
        <v>13.21875</v>
      </c>
      <c r="E111" s="51">
        <v>105.75</v>
      </c>
    </row>
    <row r="112" spans="1:5">
      <c r="A112" t="s">
        <v>48</v>
      </c>
      <c r="B112" t="s">
        <v>49</v>
      </c>
      <c r="C112" s="8">
        <v>830173</v>
      </c>
      <c r="D112" s="52">
        <v>30</v>
      </c>
      <c r="E112" s="52">
        <v>240</v>
      </c>
    </row>
    <row r="113" spans="1:5">
      <c r="A113" t="s">
        <v>80</v>
      </c>
      <c r="B113" t="s">
        <v>79</v>
      </c>
      <c r="C113" s="8">
        <v>539700</v>
      </c>
      <c r="D113" s="52">
        <v>30</v>
      </c>
      <c r="E113" s="52">
        <v>240</v>
      </c>
    </row>
    <row r="114" spans="1:5">
      <c r="A114" t="s">
        <v>236</v>
      </c>
      <c r="B114" t="s">
        <v>185</v>
      </c>
      <c r="C114" s="8">
        <v>470925</v>
      </c>
      <c r="D114" s="52">
        <v>25.59375</v>
      </c>
      <c r="E114" s="52">
        <v>204.75</v>
      </c>
    </row>
    <row r="115" spans="1:5">
      <c r="A115" s="49" t="s">
        <v>50</v>
      </c>
      <c r="B115" s="49" t="s">
        <v>51</v>
      </c>
      <c r="C115" s="50">
        <v>170000</v>
      </c>
      <c r="D115" s="51">
        <v>10</v>
      </c>
      <c r="E115" s="51">
        <v>80</v>
      </c>
    </row>
    <row r="116" spans="1:5">
      <c r="A116" t="s">
        <v>237</v>
      </c>
      <c r="B116" t="s">
        <v>186</v>
      </c>
      <c r="C116" s="8">
        <v>361800</v>
      </c>
      <c r="D116" s="52">
        <v>25.125</v>
      </c>
      <c r="E116" s="52">
        <v>201</v>
      </c>
    </row>
    <row r="117" spans="1:5">
      <c r="A117" t="s">
        <v>119</v>
      </c>
      <c r="B117" t="s">
        <v>118</v>
      </c>
      <c r="C117" s="8">
        <v>520950</v>
      </c>
      <c r="D117" s="52">
        <v>28.3125</v>
      </c>
      <c r="E117" s="52">
        <v>226.5</v>
      </c>
    </row>
    <row r="118" spans="1:5">
      <c r="A118" t="s">
        <v>52</v>
      </c>
      <c r="B118" t="s">
        <v>53</v>
      </c>
      <c r="C118" s="8">
        <v>1250000</v>
      </c>
      <c r="D118" s="52">
        <v>30</v>
      </c>
      <c r="E118" s="52">
        <v>240</v>
      </c>
    </row>
    <row r="119" spans="1:5">
      <c r="A119" t="s">
        <v>121</v>
      </c>
      <c r="B119" t="s">
        <v>120</v>
      </c>
      <c r="C119" s="8">
        <v>426600</v>
      </c>
      <c r="D119" s="52">
        <v>29.625</v>
      </c>
      <c r="E119" s="52">
        <v>237</v>
      </c>
    </row>
    <row r="120" spans="1:5">
      <c r="A120" s="49" t="s">
        <v>250</v>
      </c>
      <c r="B120" s="49" t="s">
        <v>251</v>
      </c>
      <c r="C120" s="50">
        <v>59925</v>
      </c>
      <c r="D120" s="51">
        <v>4.40625</v>
      </c>
      <c r="E120" s="51">
        <v>35.25</v>
      </c>
    </row>
    <row r="121" spans="1:5">
      <c r="A121" t="s">
        <v>123</v>
      </c>
      <c r="B121" t="s">
        <v>122</v>
      </c>
      <c r="C121" s="8">
        <v>524700</v>
      </c>
      <c r="D121" s="52">
        <v>28.8125</v>
      </c>
      <c r="E121" s="52">
        <v>230.5</v>
      </c>
    </row>
    <row r="122" spans="1:5">
      <c r="A122" s="49" t="s">
        <v>238</v>
      </c>
      <c r="B122" s="49" t="s">
        <v>187</v>
      </c>
      <c r="C122" s="50">
        <v>345525</v>
      </c>
      <c r="D122" s="51">
        <v>25.40625</v>
      </c>
      <c r="E122" s="51">
        <v>203.25</v>
      </c>
    </row>
    <row r="123" spans="1:5">
      <c r="A123" t="s">
        <v>54</v>
      </c>
      <c r="B123" t="s">
        <v>55</v>
      </c>
      <c r="C123" s="8">
        <v>1744094</v>
      </c>
      <c r="D123" s="52">
        <v>30</v>
      </c>
      <c r="E123" s="52">
        <v>240</v>
      </c>
    </row>
    <row r="124" spans="1:5">
      <c r="A124" t="s">
        <v>239</v>
      </c>
      <c r="B124" t="s">
        <v>188</v>
      </c>
      <c r="C124" s="8">
        <v>365850</v>
      </c>
      <c r="D124" s="52">
        <v>25.40625</v>
      </c>
      <c r="E124" s="52">
        <v>203.25</v>
      </c>
    </row>
    <row r="125" spans="1:5">
      <c r="A125" t="s">
        <v>56</v>
      </c>
      <c r="B125" t="s">
        <v>57</v>
      </c>
      <c r="C125" s="8">
        <v>900000</v>
      </c>
      <c r="D125" s="52">
        <v>30</v>
      </c>
      <c r="E125" s="52">
        <v>240</v>
      </c>
    </row>
    <row r="126" spans="1:5">
      <c r="A126" s="97" t="s">
        <v>322</v>
      </c>
      <c r="B126" s="98"/>
      <c r="C126" s="24">
        <f>SUM(C3:C125)</f>
        <v>58929921.883333333</v>
      </c>
      <c r="D126" s="23">
        <f>SUM(D3:D125)</f>
        <v>2989.2037499999997</v>
      </c>
      <c r="E126" s="23">
        <f>SUM(E3:E125)</f>
        <v>23913.629999999997</v>
      </c>
    </row>
    <row r="127" spans="1:5">
      <c r="B127" t="s">
        <v>323</v>
      </c>
      <c r="D127" s="52"/>
      <c r="E127" s="52"/>
    </row>
    <row r="128" spans="1:5" s="34" customFormat="1">
      <c r="A128" s="49"/>
      <c r="B128" s="49" t="s">
        <v>324</v>
      </c>
      <c r="C128" s="50">
        <v>100</v>
      </c>
      <c r="D128" s="54"/>
      <c r="E128" s="54"/>
    </row>
    <row r="129" spans="1:5">
      <c r="B129" t="s">
        <v>325</v>
      </c>
      <c r="C129" s="8">
        <v>1500</v>
      </c>
    </row>
    <row r="130" spans="1:5">
      <c r="A130" s="49"/>
      <c r="B130" s="49" t="s">
        <v>621</v>
      </c>
      <c r="C130" s="50">
        <v>100</v>
      </c>
      <c r="D130" s="54"/>
      <c r="E130" s="54"/>
    </row>
    <row r="131" spans="1:5">
      <c r="A131" s="49"/>
      <c r="B131" s="49" t="s">
        <v>622</v>
      </c>
      <c r="C131" s="50">
        <v>100</v>
      </c>
      <c r="D131" s="54"/>
      <c r="E131" s="54"/>
    </row>
    <row r="132" spans="1:5">
      <c r="B132" t="s">
        <v>326</v>
      </c>
    </row>
    <row r="133" spans="1:5">
      <c r="A133" s="49"/>
      <c r="B133" s="49" t="s">
        <v>327</v>
      </c>
      <c r="C133" s="50">
        <v>1500</v>
      </c>
      <c r="D133" s="54"/>
      <c r="E133" s="54"/>
    </row>
    <row r="134" spans="1:5">
      <c r="A134" s="49"/>
      <c r="B134" s="49" t="s">
        <v>328</v>
      </c>
      <c r="C134" s="50">
        <v>1500</v>
      </c>
      <c r="D134" s="54"/>
      <c r="E134" s="54"/>
    </row>
    <row r="135" spans="1:5">
      <c r="A135" s="49"/>
      <c r="B135" s="49" t="s">
        <v>329</v>
      </c>
      <c r="C135" s="50">
        <v>1500</v>
      </c>
      <c r="D135" s="54"/>
      <c r="E135" s="54"/>
    </row>
    <row r="136" spans="1:5">
      <c r="A136" s="49"/>
      <c r="B136" s="49" t="s">
        <v>330</v>
      </c>
      <c r="C136" s="50">
        <v>1500</v>
      </c>
      <c r="D136" s="54"/>
      <c r="E136" s="54"/>
    </row>
    <row r="137" spans="1:5">
      <c r="C137"/>
      <c r="D137"/>
      <c r="E137"/>
    </row>
    <row r="138" spans="1:5">
      <c r="C138"/>
      <c r="D138"/>
      <c r="E138"/>
    </row>
    <row r="139" spans="1:5">
      <c r="B139" t="s">
        <v>623</v>
      </c>
      <c r="C139" s="8">
        <v>100</v>
      </c>
    </row>
  </sheetData>
  <sortState xmlns:xlrd2="http://schemas.microsoft.com/office/spreadsheetml/2017/richdata2" ref="A3:E125">
    <sortCondition ref="B3:B125"/>
  </sortState>
  <mergeCells count="3">
    <mergeCell ref="A1:E1"/>
    <mergeCell ref="G1:N1"/>
    <mergeCell ref="A126:B12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CA6A-4A97-483D-A508-71009ED33324}">
  <dimension ref="A1:O128"/>
  <sheetViews>
    <sheetView zoomScale="80" zoomScaleNormal="80" workbookViewId="0">
      <selection activeCell="A12" sqref="A12:XFD13"/>
    </sheetView>
  </sheetViews>
  <sheetFormatPr baseColWidth="10" defaultRowHeight="14.4"/>
  <cols>
    <col min="1" max="1" width="41" bestFit="1" customWidth="1"/>
    <col min="2" max="3" width="14.5546875" bestFit="1" customWidth="1"/>
    <col min="4" max="4" width="25.6640625" bestFit="1" customWidth="1"/>
    <col min="5" max="5" width="12.109375" bestFit="1" customWidth="1"/>
    <col min="6" max="6" width="14.6640625" bestFit="1" customWidth="1"/>
    <col min="8" max="8" width="39.88671875" bestFit="1" customWidth="1"/>
    <col min="9" max="9" width="14.5546875" bestFit="1" customWidth="1"/>
    <col min="10" max="10" width="12.88671875" bestFit="1" customWidth="1"/>
    <col min="11" max="11" width="18.44140625" bestFit="1" customWidth="1"/>
    <col min="12" max="12" width="12.109375" bestFit="1" customWidth="1"/>
    <col min="14" max="14" width="13" bestFit="1" customWidth="1"/>
  </cols>
  <sheetData>
    <row r="1" spans="1:14" ht="15" thickBot="1"/>
    <row r="2" spans="1:14">
      <c r="A2" s="55" t="s">
        <v>138</v>
      </c>
      <c r="B2" s="56">
        <v>85000</v>
      </c>
      <c r="C2" s="68">
        <v>85000</v>
      </c>
      <c r="D2" s="69" t="s">
        <v>334</v>
      </c>
      <c r="E2" s="69" t="s">
        <v>335</v>
      </c>
      <c r="F2" s="70" t="s">
        <v>336</v>
      </c>
    </row>
    <row r="3" spans="1:14">
      <c r="A3" s="57" t="s">
        <v>3</v>
      </c>
      <c r="B3" s="58">
        <v>825000</v>
      </c>
      <c r="C3" s="71">
        <v>825000</v>
      </c>
      <c r="D3" s="72" t="s">
        <v>337</v>
      </c>
      <c r="E3" s="72" t="s">
        <v>338</v>
      </c>
      <c r="F3" s="73" t="s">
        <v>339</v>
      </c>
    </row>
    <row r="4" spans="1:14">
      <c r="A4" s="59" t="s">
        <v>66</v>
      </c>
      <c r="B4" s="60">
        <v>891000</v>
      </c>
      <c r="C4" s="74">
        <v>891000</v>
      </c>
      <c r="D4" s="75" t="s">
        <v>340</v>
      </c>
      <c r="E4" s="75" t="s">
        <v>341</v>
      </c>
      <c r="F4" s="76" t="s">
        <v>342</v>
      </c>
    </row>
    <row r="5" spans="1:14">
      <c r="A5" s="61" t="s">
        <v>139</v>
      </c>
      <c r="B5" s="62">
        <v>438725</v>
      </c>
      <c r="C5" s="77">
        <v>438725</v>
      </c>
      <c r="D5" s="78" t="s">
        <v>343</v>
      </c>
      <c r="E5" s="78" t="s">
        <v>344</v>
      </c>
      <c r="F5" s="79" t="s">
        <v>345</v>
      </c>
    </row>
    <row r="6" spans="1:14">
      <c r="A6" s="57" t="s">
        <v>132</v>
      </c>
      <c r="B6" s="58">
        <v>530400</v>
      </c>
      <c r="C6" s="71">
        <v>530400</v>
      </c>
      <c r="D6" s="72" t="s">
        <v>346</v>
      </c>
      <c r="E6" s="72" t="s">
        <v>344</v>
      </c>
      <c r="F6" s="73" t="s">
        <v>347</v>
      </c>
    </row>
    <row r="7" spans="1:14">
      <c r="A7" s="59" t="s">
        <v>140</v>
      </c>
      <c r="B7" s="60">
        <v>467475</v>
      </c>
      <c r="C7" s="74">
        <v>467475</v>
      </c>
      <c r="D7" s="75" t="s">
        <v>348</v>
      </c>
      <c r="E7" s="75" t="s">
        <v>349</v>
      </c>
      <c r="F7" s="76" t="s">
        <v>350</v>
      </c>
    </row>
    <row r="8" spans="1:14">
      <c r="A8" s="61" t="s">
        <v>141</v>
      </c>
      <c r="B8" s="62">
        <v>503700</v>
      </c>
      <c r="C8" s="77">
        <v>503700</v>
      </c>
      <c r="D8" s="78" t="s">
        <v>351</v>
      </c>
      <c r="E8" s="78" t="s">
        <v>349</v>
      </c>
      <c r="F8" s="79" t="s">
        <v>352</v>
      </c>
    </row>
    <row r="9" spans="1:14">
      <c r="A9" s="57" t="s">
        <v>81</v>
      </c>
      <c r="B9" s="58">
        <v>354025</v>
      </c>
      <c r="C9" s="71">
        <v>354025</v>
      </c>
      <c r="D9" s="72" t="s">
        <v>353</v>
      </c>
      <c r="E9" s="72" t="s">
        <v>354</v>
      </c>
      <c r="F9" s="73" t="s">
        <v>355</v>
      </c>
    </row>
    <row r="10" spans="1:14">
      <c r="A10" s="59" t="s">
        <v>142</v>
      </c>
      <c r="B10" s="60">
        <v>432400</v>
      </c>
      <c r="C10" s="74">
        <v>432400</v>
      </c>
      <c r="D10" s="75" t="s">
        <v>356</v>
      </c>
      <c r="E10" s="75" t="s">
        <v>357</v>
      </c>
      <c r="F10" s="76" t="s">
        <v>358</v>
      </c>
    </row>
    <row r="11" spans="1:14" ht="15" thickBot="1">
      <c r="A11" s="61" t="s">
        <v>143</v>
      </c>
      <c r="B11" s="62">
        <v>467475</v>
      </c>
      <c r="C11" s="77">
        <v>467475</v>
      </c>
      <c r="D11" s="78" t="s">
        <v>362</v>
      </c>
      <c r="E11" s="78" t="s">
        <v>363</v>
      </c>
      <c r="F11" s="79" t="s">
        <v>364</v>
      </c>
    </row>
    <row r="12" spans="1:14">
      <c r="A12" s="57" t="s">
        <v>7</v>
      </c>
      <c r="B12" s="58">
        <v>510000</v>
      </c>
      <c r="C12" s="71">
        <v>510000</v>
      </c>
      <c r="D12" s="72" t="s">
        <v>365</v>
      </c>
      <c r="E12" s="72" t="s">
        <v>366</v>
      </c>
      <c r="F12" s="73" t="s">
        <v>336</v>
      </c>
      <c r="H12" s="99" t="s">
        <v>616</v>
      </c>
      <c r="I12" s="100"/>
      <c r="J12" s="99" t="s">
        <v>617</v>
      </c>
      <c r="K12" s="101"/>
      <c r="L12" s="101"/>
      <c r="M12" s="100"/>
    </row>
    <row r="13" spans="1:14" s="34" customFormat="1">
      <c r="A13" s="63" t="s">
        <v>83</v>
      </c>
      <c r="B13" s="64">
        <v>558600</v>
      </c>
      <c r="C13" s="80">
        <v>551200</v>
      </c>
      <c r="D13" s="81" t="s">
        <v>367</v>
      </c>
      <c r="E13" s="81" t="s">
        <v>368</v>
      </c>
      <c r="F13" s="82" t="s">
        <v>369</v>
      </c>
      <c r="H13" s="43" t="s">
        <v>83</v>
      </c>
      <c r="I13" s="44">
        <v>558600</v>
      </c>
      <c r="J13" s="39">
        <v>551200</v>
      </c>
      <c r="K13" s="37" t="s">
        <v>367</v>
      </c>
      <c r="L13" s="37" t="s">
        <v>368</v>
      </c>
      <c r="M13" s="40" t="s">
        <v>369</v>
      </c>
      <c r="N13" s="88">
        <f>I13-J13</f>
        <v>7400</v>
      </c>
    </row>
    <row r="14" spans="1:14">
      <c r="A14" s="61" t="s">
        <v>9</v>
      </c>
      <c r="B14" s="62">
        <v>600000</v>
      </c>
      <c r="C14" s="77">
        <v>600000</v>
      </c>
      <c r="D14" s="78" t="s">
        <v>370</v>
      </c>
      <c r="E14" s="78" t="s">
        <v>371</v>
      </c>
      <c r="F14" s="79" t="s">
        <v>372</v>
      </c>
      <c r="H14" s="45" t="s">
        <v>68</v>
      </c>
      <c r="I14" s="46">
        <v>628425</v>
      </c>
      <c r="J14" s="41">
        <v>637955</v>
      </c>
      <c r="K14" s="38" t="s">
        <v>373</v>
      </c>
      <c r="L14" s="38" t="s">
        <v>374</v>
      </c>
      <c r="M14" s="42" t="s">
        <v>375</v>
      </c>
      <c r="N14" s="88">
        <f t="shared" ref="N14:N18" si="0">I14-J14</f>
        <v>-9530</v>
      </c>
    </row>
    <row r="15" spans="1:14" s="34" customFormat="1">
      <c r="A15" s="63" t="s">
        <v>68</v>
      </c>
      <c r="B15" s="65">
        <v>628425</v>
      </c>
      <c r="C15" s="80">
        <v>637955</v>
      </c>
      <c r="D15" s="81" t="s">
        <v>373</v>
      </c>
      <c r="E15" s="81" t="s">
        <v>374</v>
      </c>
      <c r="F15" s="82" t="s">
        <v>375</v>
      </c>
      <c r="H15" s="43" t="s">
        <v>149</v>
      </c>
      <c r="I15" s="44">
        <v>364500</v>
      </c>
      <c r="J15" s="39">
        <v>362250</v>
      </c>
      <c r="K15" s="37" t="s">
        <v>395</v>
      </c>
      <c r="L15" s="37" t="s">
        <v>396</v>
      </c>
      <c r="M15" s="40" t="s">
        <v>397</v>
      </c>
      <c r="N15" s="88">
        <f t="shared" si="0"/>
        <v>2250</v>
      </c>
    </row>
    <row r="16" spans="1:14">
      <c r="A16" s="59" t="s">
        <v>144</v>
      </c>
      <c r="B16" s="60">
        <v>367200</v>
      </c>
      <c r="C16" s="74">
        <v>367200</v>
      </c>
      <c r="D16" s="75" t="s">
        <v>376</v>
      </c>
      <c r="E16" s="75" t="s">
        <v>377</v>
      </c>
      <c r="F16" s="76" t="s">
        <v>378</v>
      </c>
      <c r="H16" s="45" t="s">
        <v>170</v>
      </c>
      <c r="I16" s="46">
        <v>465750</v>
      </c>
      <c r="J16" s="41">
        <v>462875</v>
      </c>
      <c r="K16" s="38" t="s">
        <v>492</v>
      </c>
      <c r="L16" s="38" t="s">
        <v>493</v>
      </c>
      <c r="M16" s="42" t="s">
        <v>494</v>
      </c>
      <c r="N16" s="88">
        <f t="shared" si="0"/>
        <v>2875</v>
      </c>
    </row>
    <row r="17" spans="1:15">
      <c r="A17" s="61" t="s">
        <v>85</v>
      </c>
      <c r="B17" s="62">
        <v>386325</v>
      </c>
      <c r="C17" s="77">
        <v>386325</v>
      </c>
      <c r="D17" s="78" t="s">
        <v>379</v>
      </c>
      <c r="E17" s="78" t="s">
        <v>380</v>
      </c>
      <c r="F17" s="79" t="s">
        <v>369</v>
      </c>
      <c r="H17" s="43" t="s">
        <v>130</v>
      </c>
      <c r="I17" s="44">
        <v>666150</v>
      </c>
      <c r="J17" s="39">
        <v>607700</v>
      </c>
      <c r="K17" s="37" t="s">
        <v>503</v>
      </c>
      <c r="L17" s="37" t="s">
        <v>504</v>
      </c>
      <c r="M17" s="40" t="s">
        <v>505</v>
      </c>
      <c r="N17" s="88">
        <f t="shared" si="0"/>
        <v>58450</v>
      </c>
    </row>
    <row r="18" spans="1:15" ht="15" thickBot="1">
      <c r="A18" s="57" t="s">
        <v>145</v>
      </c>
      <c r="B18" s="58">
        <v>363375</v>
      </c>
      <c r="C18" s="71">
        <v>363375</v>
      </c>
      <c r="D18" s="72" t="s">
        <v>381</v>
      </c>
      <c r="E18" s="72" t="s">
        <v>382</v>
      </c>
      <c r="F18" s="73" t="s">
        <v>336</v>
      </c>
      <c r="H18" s="89" t="s">
        <v>33</v>
      </c>
      <c r="I18" s="90">
        <v>284166.73333333334</v>
      </c>
      <c r="J18" s="91">
        <v>595833.4</v>
      </c>
      <c r="K18" s="92" t="s">
        <v>530</v>
      </c>
      <c r="L18" s="92" t="s">
        <v>528</v>
      </c>
      <c r="M18" s="93" t="s">
        <v>336</v>
      </c>
      <c r="N18" s="94">
        <f t="shared" si="0"/>
        <v>-311666.66666666669</v>
      </c>
      <c r="O18" s="95" t="s">
        <v>620</v>
      </c>
    </row>
    <row r="19" spans="1:15">
      <c r="A19" s="59" t="s">
        <v>146</v>
      </c>
      <c r="B19" s="60">
        <v>465750</v>
      </c>
      <c r="C19" s="74">
        <v>465750</v>
      </c>
      <c r="D19" s="75" t="s">
        <v>383</v>
      </c>
      <c r="E19" s="75" t="s">
        <v>384</v>
      </c>
      <c r="F19" s="76" t="s">
        <v>385</v>
      </c>
    </row>
    <row r="20" spans="1:15">
      <c r="A20" s="61" t="s">
        <v>147</v>
      </c>
      <c r="B20" s="62">
        <v>337875</v>
      </c>
      <c r="C20" s="77">
        <v>337875</v>
      </c>
      <c r="D20" s="78" t="s">
        <v>386</v>
      </c>
      <c r="E20" s="78" t="s">
        <v>387</v>
      </c>
      <c r="F20" s="79" t="s">
        <v>388</v>
      </c>
    </row>
    <row r="21" spans="1:15">
      <c r="A21" s="57" t="s">
        <v>148</v>
      </c>
      <c r="B21" s="58">
        <v>323000</v>
      </c>
      <c r="C21" s="71">
        <v>323000</v>
      </c>
      <c r="D21" s="72" t="s">
        <v>389</v>
      </c>
      <c r="E21" s="72" t="s">
        <v>390</v>
      </c>
      <c r="F21" s="73" t="s">
        <v>391</v>
      </c>
    </row>
    <row r="22" spans="1:15">
      <c r="A22" s="59" t="s">
        <v>87</v>
      </c>
      <c r="B22" s="60">
        <v>540600</v>
      </c>
      <c r="C22" s="74">
        <v>540600</v>
      </c>
      <c r="D22" s="75" t="s">
        <v>392</v>
      </c>
      <c r="E22" s="75" t="s">
        <v>393</v>
      </c>
      <c r="F22" s="76" t="s">
        <v>394</v>
      </c>
    </row>
    <row r="23" spans="1:15" s="34" customFormat="1">
      <c r="A23" s="63" t="s">
        <v>149</v>
      </c>
      <c r="B23" s="64">
        <v>364500</v>
      </c>
      <c r="C23" s="80">
        <v>362250</v>
      </c>
      <c r="D23" s="81" t="s">
        <v>395</v>
      </c>
      <c r="E23" s="81" t="s">
        <v>396</v>
      </c>
      <c r="F23" s="82" t="s">
        <v>397</v>
      </c>
    </row>
    <row r="24" spans="1:15">
      <c r="A24" s="57" t="s">
        <v>150</v>
      </c>
      <c r="B24" s="58">
        <v>532500</v>
      </c>
      <c r="C24" s="71">
        <v>532500</v>
      </c>
      <c r="D24" s="72" t="s">
        <v>398</v>
      </c>
      <c r="E24" s="72" t="s">
        <v>399</v>
      </c>
      <c r="F24" s="73" t="s">
        <v>352</v>
      </c>
    </row>
    <row r="25" spans="1:15">
      <c r="A25" s="59" t="s">
        <v>151</v>
      </c>
      <c r="B25" s="60">
        <v>182850</v>
      </c>
      <c r="C25" s="74">
        <v>182850</v>
      </c>
      <c r="D25" s="75" t="s">
        <v>400</v>
      </c>
      <c r="E25" s="75" t="s">
        <v>401</v>
      </c>
      <c r="F25" s="76" t="s">
        <v>402</v>
      </c>
    </row>
    <row r="26" spans="1:15">
      <c r="A26" s="61" t="s">
        <v>89</v>
      </c>
      <c r="B26" s="62">
        <v>384300</v>
      </c>
      <c r="C26" s="77">
        <v>384300</v>
      </c>
      <c r="D26" s="78" t="s">
        <v>403</v>
      </c>
      <c r="E26" s="78" t="s">
        <v>404</v>
      </c>
      <c r="F26" s="79" t="s">
        <v>405</v>
      </c>
    </row>
    <row r="27" spans="1:15">
      <c r="A27" s="57" t="s">
        <v>11</v>
      </c>
      <c r="B27" s="58">
        <v>1300000</v>
      </c>
      <c r="C27" s="71">
        <v>1300000</v>
      </c>
      <c r="D27" s="72" t="s">
        <v>406</v>
      </c>
      <c r="E27" s="72" t="s">
        <v>407</v>
      </c>
      <c r="F27" s="73" t="s">
        <v>408</v>
      </c>
    </row>
    <row r="28" spans="1:15">
      <c r="A28" s="59" t="s">
        <v>152</v>
      </c>
      <c r="B28" s="60">
        <v>364500</v>
      </c>
      <c r="C28" s="74">
        <v>364500</v>
      </c>
      <c r="D28" s="75" t="s">
        <v>409</v>
      </c>
      <c r="E28" s="75" t="s">
        <v>410</v>
      </c>
      <c r="F28" s="76" t="s">
        <v>411</v>
      </c>
    </row>
    <row r="29" spans="1:15">
      <c r="A29" s="61" t="s">
        <v>69</v>
      </c>
      <c r="B29" s="62">
        <v>496800</v>
      </c>
      <c r="C29" s="77">
        <v>496800</v>
      </c>
      <c r="D29" s="78" t="s">
        <v>412</v>
      </c>
      <c r="E29" s="78" t="s">
        <v>413</v>
      </c>
      <c r="F29" s="79" t="s">
        <v>414</v>
      </c>
    </row>
    <row r="30" spans="1:15">
      <c r="A30" s="57" t="s">
        <v>13</v>
      </c>
      <c r="B30" s="58">
        <v>500000</v>
      </c>
      <c r="C30" s="71">
        <v>500000</v>
      </c>
      <c r="D30" s="72" t="s">
        <v>415</v>
      </c>
      <c r="E30" s="72" t="s">
        <v>416</v>
      </c>
      <c r="F30" s="73" t="s">
        <v>416</v>
      </c>
    </row>
    <row r="31" spans="1:15" s="34" customFormat="1">
      <c r="A31" s="59" t="s">
        <v>153</v>
      </c>
      <c r="B31" s="60">
        <v>302450</v>
      </c>
      <c r="C31" s="74">
        <v>302450</v>
      </c>
      <c r="D31" s="75" t="s">
        <v>418</v>
      </c>
      <c r="E31" s="75" t="s">
        <v>350</v>
      </c>
      <c r="F31" s="76" t="s">
        <v>378</v>
      </c>
    </row>
    <row r="32" spans="1:15" s="34" customFormat="1">
      <c r="A32" s="61" t="s">
        <v>154</v>
      </c>
      <c r="B32" s="62">
        <v>339575</v>
      </c>
      <c r="C32" s="77">
        <v>339575</v>
      </c>
      <c r="D32" s="78" t="s">
        <v>419</v>
      </c>
      <c r="E32" s="78" t="s">
        <v>420</v>
      </c>
      <c r="F32" s="79" t="s">
        <v>421</v>
      </c>
    </row>
    <row r="33" spans="1:6">
      <c r="A33" s="57" t="s">
        <v>15</v>
      </c>
      <c r="B33" s="58">
        <v>403605.5</v>
      </c>
      <c r="C33" s="71">
        <v>403605.5</v>
      </c>
      <c r="D33" s="72" t="s">
        <v>422</v>
      </c>
      <c r="E33" s="72" t="s">
        <v>420</v>
      </c>
      <c r="F33" s="73" t="s">
        <v>423</v>
      </c>
    </row>
    <row r="34" spans="1:6">
      <c r="A34" s="59" t="s">
        <v>17</v>
      </c>
      <c r="B34" s="60">
        <v>1250000</v>
      </c>
      <c r="C34" s="74">
        <v>1250000</v>
      </c>
      <c r="D34" s="75" t="s">
        <v>424</v>
      </c>
      <c r="E34" s="75" t="s">
        <v>425</v>
      </c>
      <c r="F34" s="76" t="s">
        <v>426</v>
      </c>
    </row>
    <row r="35" spans="1:6">
      <c r="A35" s="61" t="s">
        <v>155</v>
      </c>
      <c r="B35" s="62">
        <v>465750</v>
      </c>
      <c r="C35" s="77">
        <v>465750</v>
      </c>
      <c r="D35" s="78" t="s">
        <v>427</v>
      </c>
      <c r="E35" s="78" t="s">
        <v>428</v>
      </c>
      <c r="F35" s="79" t="s">
        <v>358</v>
      </c>
    </row>
    <row r="36" spans="1:6">
      <c r="A36" s="57" t="s">
        <v>156</v>
      </c>
      <c r="B36" s="58">
        <v>368550</v>
      </c>
      <c r="C36" s="71">
        <v>368550</v>
      </c>
      <c r="D36" s="72" t="s">
        <v>429</v>
      </c>
      <c r="E36" s="72" t="s">
        <v>430</v>
      </c>
      <c r="F36" s="73" t="s">
        <v>431</v>
      </c>
    </row>
    <row r="37" spans="1:6">
      <c r="A37" s="59" t="s">
        <v>157</v>
      </c>
      <c r="B37" s="60">
        <v>361800</v>
      </c>
      <c r="C37" s="74">
        <v>361800</v>
      </c>
      <c r="D37" s="75" t="s">
        <v>432</v>
      </c>
      <c r="E37" s="75" t="s">
        <v>433</v>
      </c>
      <c r="F37" s="76" t="s">
        <v>375</v>
      </c>
    </row>
    <row r="38" spans="1:6">
      <c r="A38" s="61" t="s">
        <v>241</v>
      </c>
      <c r="B38" s="62">
        <v>138000</v>
      </c>
      <c r="C38" s="77">
        <v>138000</v>
      </c>
      <c r="D38" s="78" t="s">
        <v>434</v>
      </c>
      <c r="E38" s="78" t="s">
        <v>435</v>
      </c>
      <c r="F38" s="79" t="s">
        <v>375</v>
      </c>
    </row>
    <row r="39" spans="1:6">
      <c r="A39" s="57" t="s">
        <v>158</v>
      </c>
      <c r="B39" s="58">
        <v>336600</v>
      </c>
      <c r="C39" s="71">
        <v>336600</v>
      </c>
      <c r="D39" s="72" t="s">
        <v>436</v>
      </c>
      <c r="E39" s="72" t="s">
        <v>437</v>
      </c>
      <c r="F39" s="73" t="s">
        <v>438</v>
      </c>
    </row>
    <row r="40" spans="1:6">
      <c r="A40" s="59" t="s">
        <v>91</v>
      </c>
      <c r="B40" s="60">
        <v>418500</v>
      </c>
      <c r="C40" s="74">
        <v>418500</v>
      </c>
      <c r="D40" s="75" t="s">
        <v>439</v>
      </c>
      <c r="E40" s="75" t="s">
        <v>440</v>
      </c>
      <c r="F40" s="76" t="s">
        <v>405</v>
      </c>
    </row>
    <row r="41" spans="1:6">
      <c r="A41" s="61" t="s">
        <v>159</v>
      </c>
      <c r="B41" s="62">
        <v>426250</v>
      </c>
      <c r="C41" s="77">
        <v>426250</v>
      </c>
      <c r="D41" s="78" t="s">
        <v>441</v>
      </c>
      <c r="E41" s="78" t="s">
        <v>345</v>
      </c>
      <c r="F41" s="79" t="s">
        <v>341</v>
      </c>
    </row>
    <row r="42" spans="1:6">
      <c r="A42" s="57" t="s">
        <v>160</v>
      </c>
      <c r="B42" s="58">
        <v>528450</v>
      </c>
      <c r="C42" s="71">
        <v>528450</v>
      </c>
      <c r="D42" s="72" t="s">
        <v>442</v>
      </c>
      <c r="E42" s="72" t="s">
        <v>443</v>
      </c>
      <c r="F42" s="73" t="s">
        <v>444</v>
      </c>
    </row>
    <row r="43" spans="1:6">
      <c r="A43" s="59" t="s">
        <v>93</v>
      </c>
      <c r="B43" s="60">
        <v>391425</v>
      </c>
      <c r="C43" s="74">
        <v>391425</v>
      </c>
      <c r="D43" s="75" t="s">
        <v>445</v>
      </c>
      <c r="E43" s="75" t="s">
        <v>446</v>
      </c>
      <c r="F43" s="76" t="s">
        <v>421</v>
      </c>
    </row>
    <row r="44" spans="1:6">
      <c r="A44" s="61" t="s">
        <v>161</v>
      </c>
      <c r="B44" s="62">
        <v>470925</v>
      </c>
      <c r="C44" s="77">
        <v>470925</v>
      </c>
      <c r="D44" s="78" t="s">
        <v>447</v>
      </c>
      <c r="E44" s="78" t="s">
        <v>448</v>
      </c>
      <c r="F44" s="79" t="s">
        <v>352</v>
      </c>
    </row>
    <row r="45" spans="1:6">
      <c r="A45" s="57" t="s">
        <v>162</v>
      </c>
      <c r="B45" s="58">
        <v>348075</v>
      </c>
      <c r="C45" s="71">
        <v>348075</v>
      </c>
      <c r="D45" s="72" t="s">
        <v>449</v>
      </c>
      <c r="E45" s="72" t="s">
        <v>448</v>
      </c>
      <c r="F45" s="73" t="s">
        <v>450</v>
      </c>
    </row>
    <row r="46" spans="1:6">
      <c r="A46" s="59" t="s">
        <v>19</v>
      </c>
      <c r="B46" s="60">
        <v>131984.15</v>
      </c>
      <c r="C46" s="74">
        <v>131984.15</v>
      </c>
      <c r="D46" s="75" t="s">
        <v>451</v>
      </c>
      <c r="E46" s="75" t="s">
        <v>452</v>
      </c>
      <c r="F46" s="76" t="s">
        <v>453</v>
      </c>
    </row>
    <row r="47" spans="1:6">
      <c r="A47" s="61" t="s">
        <v>163</v>
      </c>
      <c r="B47" s="62">
        <v>465750</v>
      </c>
      <c r="C47" s="77">
        <v>465750</v>
      </c>
      <c r="D47" s="78" t="s">
        <v>454</v>
      </c>
      <c r="E47" s="78" t="s">
        <v>455</v>
      </c>
      <c r="F47" s="79" t="s">
        <v>428</v>
      </c>
    </row>
    <row r="48" spans="1:6">
      <c r="A48" s="57" t="s">
        <v>164</v>
      </c>
      <c r="B48" s="58">
        <v>445500</v>
      </c>
      <c r="C48" s="71">
        <v>445500</v>
      </c>
      <c r="D48" s="72" t="s">
        <v>427</v>
      </c>
      <c r="E48" s="72" t="s">
        <v>336</v>
      </c>
      <c r="F48" s="73" t="s">
        <v>456</v>
      </c>
    </row>
    <row r="49" spans="1:6">
      <c r="A49" s="59" t="s">
        <v>21</v>
      </c>
      <c r="B49" s="60">
        <v>1250000</v>
      </c>
      <c r="C49" s="74">
        <v>1250000</v>
      </c>
      <c r="D49" s="75" t="s">
        <v>457</v>
      </c>
      <c r="E49" s="75" t="s">
        <v>336</v>
      </c>
      <c r="F49" s="76" t="s">
        <v>458</v>
      </c>
    </row>
    <row r="50" spans="1:6">
      <c r="A50" s="61" t="s">
        <v>165</v>
      </c>
      <c r="B50" s="62">
        <v>472650</v>
      </c>
      <c r="C50" s="77">
        <v>472650</v>
      </c>
      <c r="D50" s="78" t="s">
        <v>459</v>
      </c>
      <c r="E50" s="78" t="s">
        <v>336</v>
      </c>
      <c r="F50" s="79" t="s">
        <v>460</v>
      </c>
    </row>
    <row r="51" spans="1:6">
      <c r="A51" s="57" t="s">
        <v>166</v>
      </c>
      <c r="B51" s="58">
        <v>240125</v>
      </c>
      <c r="C51" s="71">
        <v>240125</v>
      </c>
      <c r="D51" s="72" t="s">
        <v>461</v>
      </c>
      <c r="E51" s="72" t="s">
        <v>438</v>
      </c>
      <c r="F51" s="73" t="s">
        <v>456</v>
      </c>
    </row>
    <row r="52" spans="1:6">
      <c r="A52" s="59" t="s">
        <v>71</v>
      </c>
      <c r="B52" s="60">
        <v>59500</v>
      </c>
      <c r="C52" s="74">
        <v>59500</v>
      </c>
      <c r="D52" s="75" t="s">
        <v>462</v>
      </c>
      <c r="E52" s="75" t="s">
        <v>456</v>
      </c>
      <c r="F52" s="76" t="s">
        <v>456</v>
      </c>
    </row>
    <row r="53" spans="1:6">
      <c r="A53" s="61" t="s">
        <v>95</v>
      </c>
      <c r="B53" s="62">
        <v>370800</v>
      </c>
      <c r="C53" s="77">
        <v>370800</v>
      </c>
      <c r="D53" s="78" t="s">
        <v>463</v>
      </c>
      <c r="E53" s="78" t="s">
        <v>456</v>
      </c>
      <c r="F53" s="79" t="s">
        <v>464</v>
      </c>
    </row>
    <row r="54" spans="1:6">
      <c r="A54" s="57" t="s">
        <v>97</v>
      </c>
      <c r="B54" s="58">
        <v>493350</v>
      </c>
      <c r="C54" s="71">
        <v>493350</v>
      </c>
      <c r="D54" s="72" t="s">
        <v>465</v>
      </c>
      <c r="E54" s="72" t="s">
        <v>456</v>
      </c>
      <c r="F54" s="73" t="s">
        <v>464</v>
      </c>
    </row>
    <row r="55" spans="1:6">
      <c r="A55" s="59" t="s">
        <v>124</v>
      </c>
      <c r="B55" s="60">
        <v>439837.5</v>
      </c>
      <c r="C55" s="74">
        <v>439837.5</v>
      </c>
      <c r="D55" s="75" t="s">
        <v>466</v>
      </c>
      <c r="E55" s="75" t="s">
        <v>467</v>
      </c>
      <c r="F55" s="76" t="s">
        <v>468</v>
      </c>
    </row>
    <row r="56" spans="1:6">
      <c r="A56" s="61" t="s">
        <v>99</v>
      </c>
      <c r="B56" s="62">
        <v>531600</v>
      </c>
      <c r="C56" s="77">
        <v>531600</v>
      </c>
      <c r="D56" s="78" t="s">
        <v>469</v>
      </c>
      <c r="E56" s="78" t="s">
        <v>470</v>
      </c>
      <c r="F56" s="79" t="s">
        <v>471</v>
      </c>
    </row>
    <row r="57" spans="1:6">
      <c r="A57" s="57" t="s">
        <v>167</v>
      </c>
      <c r="B57" s="58">
        <v>450800</v>
      </c>
      <c r="C57" s="71">
        <v>450800</v>
      </c>
      <c r="D57" s="72" t="s">
        <v>472</v>
      </c>
      <c r="E57" s="72" t="s">
        <v>473</v>
      </c>
      <c r="F57" s="73" t="s">
        <v>352</v>
      </c>
    </row>
    <row r="58" spans="1:6">
      <c r="A58" s="59" t="s">
        <v>168</v>
      </c>
      <c r="B58" s="60">
        <v>421850</v>
      </c>
      <c r="C58" s="74">
        <v>422950</v>
      </c>
      <c r="D58" s="75" t="s">
        <v>474</v>
      </c>
      <c r="E58" s="75" t="s">
        <v>352</v>
      </c>
      <c r="F58" s="76" t="s">
        <v>387</v>
      </c>
    </row>
    <row r="59" spans="1:6">
      <c r="A59" s="61" t="s">
        <v>101</v>
      </c>
      <c r="B59" s="62">
        <v>391950</v>
      </c>
      <c r="C59" s="77">
        <v>391950</v>
      </c>
      <c r="D59" s="78" t="s">
        <v>475</v>
      </c>
      <c r="E59" s="78" t="s">
        <v>352</v>
      </c>
      <c r="F59" s="79" t="s">
        <v>433</v>
      </c>
    </row>
    <row r="60" spans="1:6">
      <c r="A60" s="57" t="s">
        <v>126</v>
      </c>
      <c r="B60" s="58">
        <v>702086</v>
      </c>
      <c r="C60" s="71">
        <v>670186</v>
      </c>
      <c r="D60" s="72" t="s">
        <v>476</v>
      </c>
      <c r="E60" s="72" t="s">
        <v>352</v>
      </c>
      <c r="F60" s="73" t="s">
        <v>477</v>
      </c>
    </row>
    <row r="61" spans="1:6">
      <c r="A61" s="59" t="s">
        <v>247</v>
      </c>
      <c r="B61" s="60">
        <v>136000</v>
      </c>
      <c r="C61" s="74">
        <v>136000</v>
      </c>
      <c r="D61" s="75" t="s">
        <v>478</v>
      </c>
      <c r="E61" s="75" t="s">
        <v>352</v>
      </c>
      <c r="F61" s="76" t="s">
        <v>477</v>
      </c>
    </row>
    <row r="62" spans="1:6">
      <c r="A62" s="61" t="s">
        <v>103</v>
      </c>
      <c r="B62" s="62">
        <v>389400</v>
      </c>
      <c r="C62" s="77">
        <v>389400</v>
      </c>
      <c r="D62" s="78" t="s">
        <v>479</v>
      </c>
      <c r="E62" s="78" t="s">
        <v>352</v>
      </c>
      <c r="F62" s="79" t="s">
        <v>480</v>
      </c>
    </row>
    <row r="63" spans="1:6">
      <c r="A63" s="57" t="s">
        <v>23</v>
      </c>
      <c r="B63" s="58">
        <v>495000</v>
      </c>
      <c r="C63" s="71">
        <v>495000</v>
      </c>
      <c r="D63" s="72" t="s">
        <v>481</v>
      </c>
      <c r="E63" s="72" t="s">
        <v>482</v>
      </c>
      <c r="F63" s="73" t="s">
        <v>483</v>
      </c>
    </row>
    <row r="64" spans="1:6">
      <c r="A64" s="59" t="s">
        <v>169</v>
      </c>
      <c r="B64" s="60">
        <v>363375</v>
      </c>
      <c r="C64" s="74">
        <v>363375</v>
      </c>
      <c r="D64" s="75" t="s">
        <v>484</v>
      </c>
      <c r="E64" s="75" t="s">
        <v>358</v>
      </c>
      <c r="F64" s="76" t="s">
        <v>443</v>
      </c>
    </row>
    <row r="65" spans="1:6">
      <c r="A65" s="61" t="s">
        <v>253</v>
      </c>
      <c r="B65" s="62">
        <v>56950</v>
      </c>
      <c r="C65" s="77">
        <v>56950</v>
      </c>
      <c r="D65" s="78" t="s">
        <v>485</v>
      </c>
      <c r="E65" s="78" t="s">
        <v>486</v>
      </c>
      <c r="F65" s="79" t="s">
        <v>352</v>
      </c>
    </row>
    <row r="66" spans="1:6">
      <c r="A66" s="57" t="s">
        <v>133</v>
      </c>
      <c r="B66" s="58">
        <v>316825</v>
      </c>
      <c r="C66" s="71">
        <v>316825</v>
      </c>
      <c r="D66" s="83" t="s">
        <v>489</v>
      </c>
      <c r="E66" s="83" t="s">
        <v>490</v>
      </c>
      <c r="F66" s="58" t="s">
        <v>491</v>
      </c>
    </row>
    <row r="67" spans="1:6">
      <c r="A67" s="59" t="s">
        <v>105</v>
      </c>
      <c r="B67" s="60">
        <v>475200</v>
      </c>
      <c r="C67" s="74">
        <v>475200</v>
      </c>
      <c r="D67" s="84" t="s">
        <v>487</v>
      </c>
      <c r="E67" s="84" t="s">
        <v>488</v>
      </c>
      <c r="F67" s="60" t="s">
        <v>358</v>
      </c>
    </row>
    <row r="68" spans="1:6" s="34" customFormat="1">
      <c r="A68" s="63" t="s">
        <v>170</v>
      </c>
      <c r="B68" s="64">
        <v>465750</v>
      </c>
      <c r="C68" s="80">
        <v>462875</v>
      </c>
      <c r="D68" s="81" t="s">
        <v>492</v>
      </c>
      <c r="E68" s="81" t="s">
        <v>493</v>
      </c>
      <c r="F68" s="82" t="s">
        <v>494</v>
      </c>
    </row>
    <row r="69" spans="1:6">
      <c r="A69" s="57" t="s">
        <v>128</v>
      </c>
      <c r="B69" s="58">
        <v>468000</v>
      </c>
      <c r="C69" s="71">
        <v>468000</v>
      </c>
      <c r="D69" s="72" t="s">
        <v>495</v>
      </c>
      <c r="E69" s="72" t="s">
        <v>493</v>
      </c>
      <c r="F69" s="73" t="s">
        <v>496</v>
      </c>
    </row>
    <row r="70" spans="1:6">
      <c r="A70" s="59" t="s">
        <v>25</v>
      </c>
      <c r="B70" s="60">
        <v>1250000</v>
      </c>
      <c r="C70" s="74">
        <v>1250000</v>
      </c>
      <c r="D70" s="75" t="s">
        <v>497</v>
      </c>
      <c r="E70" s="75" t="s">
        <v>498</v>
      </c>
      <c r="F70" s="76" t="s">
        <v>499</v>
      </c>
    </row>
    <row r="71" spans="1:6">
      <c r="A71" s="61" t="s">
        <v>171</v>
      </c>
      <c r="B71" s="62">
        <v>341700</v>
      </c>
      <c r="C71" s="77">
        <v>341700</v>
      </c>
      <c r="D71" s="78" t="s">
        <v>500</v>
      </c>
      <c r="E71" s="78" t="s">
        <v>501</v>
      </c>
      <c r="F71" s="79" t="s">
        <v>502</v>
      </c>
    </row>
    <row r="72" spans="1:6" s="34" customFormat="1">
      <c r="A72" s="63" t="s">
        <v>130</v>
      </c>
      <c r="B72" s="64">
        <v>666150</v>
      </c>
      <c r="C72" s="80">
        <v>607700</v>
      </c>
      <c r="D72" s="81" t="s">
        <v>503</v>
      </c>
      <c r="E72" s="81" t="s">
        <v>504</v>
      </c>
      <c r="F72" s="82" t="s">
        <v>505</v>
      </c>
    </row>
    <row r="73" spans="1:6">
      <c r="A73" s="59" t="s">
        <v>27</v>
      </c>
      <c r="B73" s="60">
        <v>570000</v>
      </c>
      <c r="C73" s="74">
        <v>570000</v>
      </c>
      <c r="D73" s="75" t="s">
        <v>506</v>
      </c>
      <c r="E73" s="75" t="s">
        <v>507</v>
      </c>
      <c r="F73" s="76" t="s">
        <v>508</v>
      </c>
    </row>
    <row r="74" spans="1:6">
      <c r="A74" s="61" t="s">
        <v>29</v>
      </c>
      <c r="B74" s="62">
        <v>1000000</v>
      </c>
      <c r="C74" s="77">
        <v>1000000</v>
      </c>
      <c r="D74" s="78" t="s">
        <v>509</v>
      </c>
      <c r="E74" s="78" t="s">
        <v>372</v>
      </c>
      <c r="F74" s="79" t="s">
        <v>453</v>
      </c>
    </row>
    <row r="75" spans="1:6">
      <c r="A75" s="57" t="s">
        <v>172</v>
      </c>
      <c r="B75" s="58">
        <v>365850</v>
      </c>
      <c r="C75" s="71">
        <v>365850</v>
      </c>
      <c r="D75" s="72" t="s">
        <v>510</v>
      </c>
      <c r="E75" s="72" t="s">
        <v>511</v>
      </c>
      <c r="F75" s="73" t="s">
        <v>512</v>
      </c>
    </row>
    <row r="76" spans="1:6">
      <c r="A76" s="59" t="s">
        <v>255</v>
      </c>
      <c r="B76" s="60">
        <v>74025</v>
      </c>
      <c r="C76" s="74">
        <v>74025</v>
      </c>
      <c r="D76" s="75" t="s">
        <v>513</v>
      </c>
      <c r="E76" s="75" t="s">
        <v>514</v>
      </c>
      <c r="F76" s="76" t="s">
        <v>411</v>
      </c>
    </row>
    <row r="77" spans="1:6">
      <c r="A77" s="61" t="s">
        <v>108</v>
      </c>
      <c r="B77" s="62">
        <v>108000</v>
      </c>
      <c r="C77" s="77">
        <v>108000</v>
      </c>
      <c r="D77" s="78" t="s">
        <v>515</v>
      </c>
      <c r="E77" s="78" t="s">
        <v>388</v>
      </c>
      <c r="F77" s="79" t="s">
        <v>516</v>
      </c>
    </row>
    <row r="78" spans="1:6">
      <c r="A78" s="57" t="s">
        <v>173</v>
      </c>
      <c r="B78" s="58">
        <v>345525</v>
      </c>
      <c r="C78" s="71">
        <v>345525</v>
      </c>
      <c r="D78" s="72" t="s">
        <v>517</v>
      </c>
      <c r="E78" s="72" t="s">
        <v>518</v>
      </c>
      <c r="F78" s="73" t="s">
        <v>468</v>
      </c>
    </row>
    <row r="79" spans="1:6">
      <c r="A79" s="59" t="s">
        <v>174</v>
      </c>
      <c r="B79" s="60">
        <v>321725</v>
      </c>
      <c r="C79" s="74">
        <v>321725</v>
      </c>
      <c r="D79" s="75" t="s">
        <v>519</v>
      </c>
      <c r="E79" s="75" t="s">
        <v>518</v>
      </c>
      <c r="F79" s="76" t="s">
        <v>468</v>
      </c>
    </row>
    <row r="80" spans="1:6">
      <c r="A80" s="61" t="s">
        <v>243</v>
      </c>
      <c r="B80" s="62">
        <v>51000</v>
      </c>
      <c r="C80" s="77">
        <v>51000</v>
      </c>
      <c r="D80" s="78" t="s">
        <v>520</v>
      </c>
      <c r="E80" s="78" t="s">
        <v>521</v>
      </c>
      <c r="F80" s="79" t="s">
        <v>358</v>
      </c>
    </row>
    <row r="81" spans="1:7">
      <c r="A81" s="57" t="s">
        <v>175</v>
      </c>
      <c r="B81" s="58">
        <v>438725</v>
      </c>
      <c r="C81" s="71">
        <v>438725</v>
      </c>
      <c r="D81" s="72" t="s">
        <v>522</v>
      </c>
      <c r="E81" s="72" t="s">
        <v>523</v>
      </c>
      <c r="F81" s="73" t="s">
        <v>524</v>
      </c>
    </row>
    <row r="82" spans="1:7">
      <c r="A82" s="59" t="s">
        <v>176</v>
      </c>
      <c r="B82" s="60">
        <v>469200</v>
      </c>
      <c r="C82" s="74">
        <v>469200</v>
      </c>
      <c r="D82" s="75" t="s">
        <v>525</v>
      </c>
      <c r="E82" s="75" t="s">
        <v>526</v>
      </c>
      <c r="F82" s="76" t="s">
        <v>408</v>
      </c>
    </row>
    <row r="83" spans="1:7">
      <c r="A83" s="61" t="s">
        <v>31</v>
      </c>
      <c r="B83" s="62">
        <v>1700000</v>
      </c>
      <c r="C83" s="77">
        <v>1700000</v>
      </c>
      <c r="D83" s="78" t="s">
        <v>527</v>
      </c>
      <c r="E83" s="78" t="s">
        <v>528</v>
      </c>
      <c r="F83" s="79" t="s">
        <v>529</v>
      </c>
    </row>
    <row r="84" spans="1:7" s="34" customFormat="1">
      <c r="A84" s="63" t="s">
        <v>33</v>
      </c>
      <c r="B84" s="64">
        <v>284166.73333333334</v>
      </c>
      <c r="C84" s="80">
        <v>595833.4</v>
      </c>
      <c r="D84" s="81" t="s">
        <v>530</v>
      </c>
      <c r="E84" s="81" t="s">
        <v>528</v>
      </c>
      <c r="F84" s="82" t="s">
        <v>336</v>
      </c>
      <c r="G84" s="34" t="s">
        <v>615</v>
      </c>
    </row>
    <row r="85" spans="1:7">
      <c r="A85" s="59" t="s">
        <v>249</v>
      </c>
      <c r="B85" s="60">
        <v>243225</v>
      </c>
      <c r="C85" s="74">
        <v>243225</v>
      </c>
      <c r="D85" s="75" t="s">
        <v>531</v>
      </c>
      <c r="E85" s="75" t="s">
        <v>532</v>
      </c>
      <c r="F85" s="76" t="s">
        <v>533</v>
      </c>
    </row>
    <row r="86" spans="1:7">
      <c r="A86" s="61" t="s">
        <v>177</v>
      </c>
      <c r="B86" s="62">
        <v>469200</v>
      </c>
      <c r="C86" s="77">
        <v>469200</v>
      </c>
      <c r="D86" s="78" t="s">
        <v>534</v>
      </c>
      <c r="E86" s="78" t="s">
        <v>535</v>
      </c>
      <c r="F86" s="79" t="s">
        <v>440</v>
      </c>
    </row>
    <row r="87" spans="1:7">
      <c r="A87" s="57" t="s">
        <v>63</v>
      </c>
      <c r="B87" s="58">
        <v>750000</v>
      </c>
      <c r="C87" s="71">
        <v>750000</v>
      </c>
      <c r="D87" s="72" t="s">
        <v>536</v>
      </c>
      <c r="E87" s="72" t="s">
        <v>537</v>
      </c>
      <c r="F87" s="73" t="s">
        <v>538</v>
      </c>
      <c r="G87" s="30" t="s">
        <v>618</v>
      </c>
    </row>
    <row r="88" spans="1:7">
      <c r="A88" s="59" t="s">
        <v>178</v>
      </c>
      <c r="B88" s="60">
        <v>344250</v>
      </c>
      <c r="C88" s="74">
        <v>344250</v>
      </c>
      <c r="D88" s="75" t="s">
        <v>539</v>
      </c>
      <c r="E88" s="75" t="s">
        <v>468</v>
      </c>
      <c r="F88" s="76" t="s">
        <v>540</v>
      </c>
    </row>
    <row r="89" spans="1:7">
      <c r="A89" s="61" t="s">
        <v>73</v>
      </c>
      <c r="B89" s="62">
        <v>10200</v>
      </c>
      <c r="C89" s="77">
        <v>10200</v>
      </c>
      <c r="D89" s="78" t="s">
        <v>541</v>
      </c>
      <c r="E89" s="78" t="s">
        <v>468</v>
      </c>
      <c r="F89" s="79" t="s">
        <v>542</v>
      </c>
    </row>
    <row r="90" spans="1:7">
      <c r="A90" s="57" t="s">
        <v>179</v>
      </c>
      <c r="B90" s="58">
        <v>340650</v>
      </c>
      <c r="C90" s="71">
        <v>340650</v>
      </c>
      <c r="D90" s="72" t="s">
        <v>543</v>
      </c>
      <c r="E90" s="72" t="s">
        <v>408</v>
      </c>
      <c r="F90" s="73" t="s">
        <v>341</v>
      </c>
    </row>
    <row r="91" spans="1:7">
      <c r="A91" s="59" t="s">
        <v>180</v>
      </c>
      <c r="B91" s="60">
        <v>232900</v>
      </c>
      <c r="C91" s="74">
        <v>232900</v>
      </c>
      <c r="D91" s="75" t="s">
        <v>544</v>
      </c>
      <c r="E91" s="75" t="s">
        <v>408</v>
      </c>
      <c r="F91" s="76" t="s">
        <v>393</v>
      </c>
    </row>
    <row r="92" spans="1:7">
      <c r="A92" s="61" t="s">
        <v>181</v>
      </c>
      <c r="B92" s="62">
        <v>438725</v>
      </c>
      <c r="C92" s="77">
        <v>438725</v>
      </c>
      <c r="D92" s="78" t="s">
        <v>545</v>
      </c>
      <c r="E92" s="78" t="s">
        <v>408</v>
      </c>
      <c r="F92" s="79" t="s">
        <v>460</v>
      </c>
    </row>
    <row r="93" spans="1:7">
      <c r="A93" s="57" t="s">
        <v>110</v>
      </c>
      <c r="B93" s="58">
        <v>393550</v>
      </c>
      <c r="C93" s="71">
        <v>393550</v>
      </c>
      <c r="D93" s="72" t="s">
        <v>546</v>
      </c>
      <c r="E93" s="72" t="s">
        <v>460</v>
      </c>
      <c r="F93" s="73" t="s">
        <v>547</v>
      </c>
    </row>
    <row r="94" spans="1:7">
      <c r="A94" s="59" t="s">
        <v>182</v>
      </c>
      <c r="B94" s="60">
        <v>368550</v>
      </c>
      <c r="C94" s="74">
        <v>368550</v>
      </c>
      <c r="D94" s="75" t="s">
        <v>548</v>
      </c>
      <c r="E94" s="75" t="s">
        <v>549</v>
      </c>
      <c r="F94" s="76" t="s">
        <v>450</v>
      </c>
    </row>
    <row r="95" spans="1:7">
      <c r="A95" s="61" t="s">
        <v>183</v>
      </c>
      <c r="B95" s="62">
        <v>345525</v>
      </c>
      <c r="C95" s="77">
        <v>345525</v>
      </c>
      <c r="D95" s="78" t="s">
        <v>550</v>
      </c>
      <c r="E95" s="78" t="s">
        <v>502</v>
      </c>
      <c r="F95" s="79" t="s">
        <v>551</v>
      </c>
    </row>
    <row r="96" spans="1:7">
      <c r="A96" s="57" t="s">
        <v>134</v>
      </c>
      <c r="B96" s="58">
        <v>151800</v>
      </c>
      <c r="C96" s="71">
        <v>151800</v>
      </c>
      <c r="D96" s="72" t="s">
        <v>552</v>
      </c>
      <c r="E96" s="72" t="s">
        <v>502</v>
      </c>
      <c r="F96" s="73" t="s">
        <v>553</v>
      </c>
    </row>
    <row r="97" spans="1:12">
      <c r="A97" s="59" t="s">
        <v>35</v>
      </c>
      <c r="B97" s="60">
        <v>1400000</v>
      </c>
      <c r="C97" s="74">
        <v>1400000</v>
      </c>
      <c r="D97" s="75" t="s">
        <v>554</v>
      </c>
      <c r="E97" s="75" t="s">
        <v>375</v>
      </c>
      <c r="F97" s="76" t="s">
        <v>555</v>
      </c>
    </row>
    <row r="98" spans="1:12">
      <c r="A98" s="61" t="s">
        <v>75</v>
      </c>
      <c r="B98" s="62">
        <v>411000</v>
      </c>
      <c r="C98" s="77">
        <v>411000</v>
      </c>
      <c r="D98" s="78" t="s">
        <v>556</v>
      </c>
      <c r="E98" s="78" t="s">
        <v>375</v>
      </c>
      <c r="F98" s="79" t="s">
        <v>388</v>
      </c>
    </row>
    <row r="99" spans="1:12">
      <c r="A99" s="57" t="s">
        <v>37</v>
      </c>
      <c r="B99" s="58">
        <v>550000</v>
      </c>
      <c r="C99" s="71">
        <v>550000</v>
      </c>
      <c r="D99" s="72" t="s">
        <v>557</v>
      </c>
      <c r="E99" s="72" t="s">
        <v>558</v>
      </c>
      <c r="F99" s="73" t="s">
        <v>444</v>
      </c>
    </row>
    <row r="100" spans="1:12">
      <c r="A100" s="59" t="s">
        <v>112</v>
      </c>
      <c r="B100" s="60">
        <v>421200</v>
      </c>
      <c r="C100" s="74">
        <v>421200</v>
      </c>
      <c r="D100" s="75" t="s">
        <v>559</v>
      </c>
      <c r="E100" s="75" t="s">
        <v>560</v>
      </c>
      <c r="F100" s="76" t="s">
        <v>511</v>
      </c>
    </row>
    <row r="101" spans="1:12">
      <c r="A101" s="61" t="s">
        <v>39</v>
      </c>
      <c r="B101" s="62">
        <v>800000</v>
      </c>
      <c r="C101" s="77">
        <v>800000</v>
      </c>
      <c r="D101" s="78" t="s">
        <v>561</v>
      </c>
      <c r="E101" s="78" t="s">
        <v>453</v>
      </c>
      <c r="F101" s="79" t="s">
        <v>508</v>
      </c>
    </row>
    <row r="102" spans="1:12">
      <c r="A102" s="57" t="s">
        <v>114</v>
      </c>
      <c r="B102" s="58">
        <v>459425</v>
      </c>
      <c r="C102" s="71">
        <v>459425</v>
      </c>
      <c r="D102" s="72" t="s">
        <v>562</v>
      </c>
      <c r="E102" s="72" t="s">
        <v>563</v>
      </c>
      <c r="F102" s="73" t="s">
        <v>564</v>
      </c>
    </row>
    <row r="103" spans="1:12">
      <c r="A103" s="59" t="s">
        <v>77</v>
      </c>
      <c r="B103" s="60">
        <v>431400</v>
      </c>
      <c r="C103" s="74">
        <v>431400</v>
      </c>
      <c r="D103" s="75" t="s">
        <v>565</v>
      </c>
      <c r="E103" s="75" t="s">
        <v>563</v>
      </c>
      <c r="F103" s="76" t="s">
        <v>564</v>
      </c>
    </row>
    <row r="104" spans="1:12">
      <c r="A104" s="61" t="s">
        <v>41</v>
      </c>
      <c r="B104" s="62">
        <v>900000</v>
      </c>
      <c r="C104" s="77">
        <v>900000</v>
      </c>
      <c r="D104" s="78" t="s">
        <v>566</v>
      </c>
      <c r="E104" s="78" t="s">
        <v>567</v>
      </c>
      <c r="F104" s="79" t="s">
        <v>568</v>
      </c>
    </row>
    <row r="105" spans="1:12">
      <c r="A105" s="57" t="s">
        <v>43</v>
      </c>
      <c r="B105" s="58">
        <v>600000</v>
      </c>
      <c r="C105" s="71">
        <v>600000</v>
      </c>
      <c r="D105" s="72" t="s">
        <v>569</v>
      </c>
      <c r="E105" s="72" t="s">
        <v>567</v>
      </c>
      <c r="F105" s="73" t="s">
        <v>339</v>
      </c>
    </row>
    <row r="106" spans="1:12">
      <c r="A106" s="59" t="s">
        <v>116</v>
      </c>
      <c r="B106" s="60">
        <v>513450</v>
      </c>
      <c r="C106" s="74">
        <v>513450</v>
      </c>
      <c r="D106" s="75" t="s">
        <v>570</v>
      </c>
      <c r="E106" s="75" t="s">
        <v>499</v>
      </c>
      <c r="F106" s="76" t="s">
        <v>408</v>
      </c>
    </row>
    <row r="107" spans="1:12">
      <c r="A107" s="61" t="s">
        <v>184</v>
      </c>
      <c r="B107" s="62">
        <v>286650</v>
      </c>
      <c r="C107" s="77">
        <v>286650</v>
      </c>
      <c r="D107" s="78" t="s">
        <v>571</v>
      </c>
      <c r="E107" s="78" t="s">
        <v>572</v>
      </c>
      <c r="F107" s="79" t="s">
        <v>456</v>
      </c>
    </row>
    <row r="108" spans="1:12">
      <c r="A108" s="57" t="s">
        <v>45</v>
      </c>
      <c r="B108" s="58">
        <v>722650</v>
      </c>
      <c r="C108" s="71">
        <v>722650</v>
      </c>
      <c r="D108" s="72" t="s">
        <v>573</v>
      </c>
      <c r="E108" s="72" t="s">
        <v>574</v>
      </c>
      <c r="F108" s="73" t="s">
        <v>361</v>
      </c>
    </row>
    <row r="109" spans="1:12">
      <c r="A109" s="59" t="s">
        <v>47</v>
      </c>
      <c r="B109" s="60">
        <v>720000</v>
      </c>
      <c r="C109" s="74">
        <v>720000</v>
      </c>
      <c r="D109" s="75" t="s">
        <v>575</v>
      </c>
      <c r="E109" s="75" t="s">
        <v>576</v>
      </c>
      <c r="F109" s="76" t="s">
        <v>380</v>
      </c>
    </row>
    <row r="110" spans="1:12">
      <c r="A110" s="61" t="s">
        <v>245</v>
      </c>
      <c r="B110" s="62">
        <v>243225</v>
      </c>
      <c r="C110" s="77">
        <v>243225</v>
      </c>
      <c r="D110" s="78" t="s">
        <v>577</v>
      </c>
      <c r="E110" s="78" t="s">
        <v>578</v>
      </c>
      <c r="F110" s="79" t="s">
        <v>358</v>
      </c>
      <c r="I110" s="26">
        <v>0</v>
      </c>
      <c r="J110" s="27" t="s">
        <v>579</v>
      </c>
      <c r="K110" s="27" t="s">
        <v>580</v>
      </c>
      <c r="L110" s="27" t="s">
        <v>446</v>
      </c>
    </row>
    <row r="111" spans="1:12">
      <c r="A111" s="57" t="s">
        <v>49</v>
      </c>
      <c r="B111" s="58">
        <v>830173</v>
      </c>
      <c r="C111" s="71">
        <v>830173</v>
      </c>
      <c r="D111" s="72" t="s">
        <v>581</v>
      </c>
      <c r="E111" s="72" t="s">
        <v>582</v>
      </c>
      <c r="F111" s="73" t="s">
        <v>583</v>
      </c>
      <c r="I111" s="32">
        <v>0</v>
      </c>
      <c r="J111" s="33" t="s">
        <v>417</v>
      </c>
      <c r="K111" s="33" t="s">
        <v>378</v>
      </c>
      <c r="L111" s="33" t="s">
        <v>361</v>
      </c>
    </row>
    <row r="112" spans="1:12">
      <c r="A112" s="59" t="s">
        <v>79</v>
      </c>
      <c r="B112" s="60">
        <v>539700</v>
      </c>
      <c r="C112" s="74">
        <v>539700</v>
      </c>
      <c r="D112" s="75" t="s">
        <v>584</v>
      </c>
      <c r="E112" s="75" t="s">
        <v>585</v>
      </c>
      <c r="F112" s="76" t="s">
        <v>586</v>
      </c>
      <c r="I112" s="26">
        <v>300000</v>
      </c>
      <c r="J112" s="27" t="s">
        <v>359</v>
      </c>
      <c r="K112" s="27" t="s">
        <v>360</v>
      </c>
      <c r="L112" s="27" t="s">
        <v>361</v>
      </c>
    </row>
    <row r="113" spans="1:6">
      <c r="A113" s="61" t="s">
        <v>185</v>
      </c>
      <c r="B113" s="62">
        <v>470925</v>
      </c>
      <c r="C113" s="77">
        <v>470925</v>
      </c>
      <c r="D113" s="78" t="s">
        <v>587</v>
      </c>
      <c r="E113" s="78" t="s">
        <v>588</v>
      </c>
      <c r="F113" s="79" t="s">
        <v>589</v>
      </c>
    </row>
    <row r="114" spans="1:6">
      <c r="A114" s="57" t="s">
        <v>51</v>
      </c>
      <c r="B114" s="58">
        <v>170000</v>
      </c>
      <c r="C114" s="71">
        <v>170000</v>
      </c>
      <c r="D114" s="72" t="s">
        <v>590</v>
      </c>
      <c r="E114" s="72" t="s">
        <v>591</v>
      </c>
      <c r="F114" s="73" t="s">
        <v>360</v>
      </c>
    </row>
    <row r="115" spans="1:6">
      <c r="A115" s="59" t="s">
        <v>186</v>
      </c>
      <c r="B115" s="60">
        <v>361800</v>
      </c>
      <c r="C115" s="74">
        <v>361800</v>
      </c>
      <c r="D115" s="75" t="s">
        <v>592</v>
      </c>
      <c r="E115" s="75" t="s">
        <v>593</v>
      </c>
      <c r="F115" s="76" t="s">
        <v>594</v>
      </c>
    </row>
    <row r="116" spans="1:6">
      <c r="A116" s="61" t="s">
        <v>118</v>
      </c>
      <c r="B116" s="62">
        <v>520950</v>
      </c>
      <c r="C116" s="77">
        <v>520950</v>
      </c>
      <c r="D116" s="78" t="s">
        <v>595</v>
      </c>
      <c r="E116" s="78" t="s">
        <v>596</v>
      </c>
      <c r="F116" s="79" t="s">
        <v>597</v>
      </c>
    </row>
    <row r="117" spans="1:6">
      <c r="A117" s="57" t="s">
        <v>53</v>
      </c>
      <c r="B117" s="58">
        <v>1250000</v>
      </c>
      <c r="C117" s="71">
        <v>1250000</v>
      </c>
      <c r="D117" s="72" t="s">
        <v>598</v>
      </c>
      <c r="E117" s="72" t="s">
        <v>599</v>
      </c>
      <c r="F117" s="73" t="s">
        <v>414</v>
      </c>
    </row>
    <row r="118" spans="1:6">
      <c r="A118" s="59" t="s">
        <v>120</v>
      </c>
      <c r="B118" s="60">
        <v>426600</v>
      </c>
      <c r="C118" s="74">
        <v>426600</v>
      </c>
      <c r="D118" s="75" t="s">
        <v>600</v>
      </c>
      <c r="E118" s="75" t="s">
        <v>601</v>
      </c>
      <c r="F118" s="76" t="s">
        <v>602</v>
      </c>
    </row>
    <row r="119" spans="1:6">
      <c r="A119" s="61" t="s">
        <v>251</v>
      </c>
      <c r="B119" s="62">
        <v>59925</v>
      </c>
      <c r="C119" s="77">
        <v>59925</v>
      </c>
      <c r="D119" s="78" t="s">
        <v>603</v>
      </c>
      <c r="E119" s="78" t="s">
        <v>601</v>
      </c>
      <c r="F119" s="79" t="s">
        <v>456</v>
      </c>
    </row>
    <row r="120" spans="1:6">
      <c r="A120" s="57" t="s">
        <v>122</v>
      </c>
      <c r="B120" s="58">
        <v>524700</v>
      </c>
      <c r="C120" s="71">
        <v>524700</v>
      </c>
      <c r="D120" s="72" t="s">
        <v>604</v>
      </c>
      <c r="E120" s="72" t="s">
        <v>605</v>
      </c>
      <c r="F120" s="73" t="s">
        <v>352</v>
      </c>
    </row>
    <row r="121" spans="1:6">
      <c r="A121" s="59" t="s">
        <v>187</v>
      </c>
      <c r="B121" s="60">
        <v>345525</v>
      </c>
      <c r="C121" s="74">
        <v>345525</v>
      </c>
      <c r="D121" s="75" t="s">
        <v>606</v>
      </c>
      <c r="E121" s="75" t="s">
        <v>605</v>
      </c>
      <c r="F121" s="76" t="s">
        <v>607</v>
      </c>
    </row>
    <row r="122" spans="1:6">
      <c r="A122" s="61" t="s">
        <v>55</v>
      </c>
      <c r="B122" s="62">
        <v>1744094</v>
      </c>
      <c r="C122" s="77">
        <v>1744094</v>
      </c>
      <c r="D122" s="78" t="s">
        <v>608</v>
      </c>
      <c r="E122" s="78" t="s">
        <v>609</v>
      </c>
      <c r="F122" s="79" t="s">
        <v>610</v>
      </c>
    </row>
    <row r="123" spans="1:6">
      <c r="A123" s="57" t="s">
        <v>188</v>
      </c>
      <c r="B123" s="58">
        <v>365850</v>
      </c>
      <c r="C123" s="71">
        <v>365850</v>
      </c>
      <c r="D123" s="72" t="s">
        <v>611</v>
      </c>
      <c r="E123" s="72" t="s">
        <v>612</v>
      </c>
      <c r="F123" s="73" t="s">
        <v>448</v>
      </c>
    </row>
    <row r="124" spans="1:6" ht="15" thickBot="1">
      <c r="A124" s="66" t="s">
        <v>57</v>
      </c>
      <c r="B124" s="67">
        <v>900000</v>
      </c>
      <c r="C124" s="85">
        <v>900000</v>
      </c>
      <c r="D124" s="86" t="s">
        <v>613</v>
      </c>
      <c r="E124" s="86" t="s">
        <v>614</v>
      </c>
      <c r="F124" s="87" t="s">
        <v>494</v>
      </c>
    </row>
    <row r="125" spans="1:6" s="34" customFormat="1">
      <c r="B125" s="35"/>
      <c r="C125" s="35"/>
      <c r="D125" s="36"/>
      <c r="E125" s="36"/>
      <c r="F125" s="36"/>
    </row>
    <row r="126" spans="1:6" s="34" customFormat="1">
      <c r="B126" s="35"/>
      <c r="C126" s="35"/>
      <c r="D126" s="36"/>
      <c r="E126" s="36"/>
      <c r="F126" s="36"/>
    </row>
    <row r="127" spans="1:6" s="34" customFormat="1">
      <c r="B127" s="35"/>
      <c r="C127" s="35"/>
      <c r="D127" s="36"/>
      <c r="E127" s="36"/>
      <c r="F127" s="36"/>
    </row>
    <row r="128" spans="1:6" s="34" customFormat="1">
      <c r="B128" s="35"/>
      <c r="C128" s="35"/>
      <c r="D128" s="36"/>
      <c r="E128" s="36"/>
      <c r="F128" s="36"/>
    </row>
  </sheetData>
  <mergeCells count="2">
    <mergeCell ref="H12:I12"/>
    <mergeCell ref="J12:M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56CF9D9BE6334F8149E99CA6073124" ma:contentTypeVersion="18" ma:contentTypeDescription="Crear nuevo documento." ma:contentTypeScope="" ma:versionID="f161031fa47b2d385091ac197f0396df">
  <xsd:schema xmlns:xsd="http://www.w3.org/2001/XMLSchema" xmlns:xs="http://www.w3.org/2001/XMLSchema" xmlns:p="http://schemas.microsoft.com/office/2006/metadata/properties" xmlns:ns2="97378d60-aaff-4d22-b97f-fdbd15e59237" xmlns:ns3="587b5dcf-da25-4890-a28a-868e903f2c4e" xmlns:ns4="523d1d71-b689-437b-b072-0d19175b2be9" targetNamespace="http://schemas.microsoft.com/office/2006/metadata/properties" ma:root="true" ma:fieldsID="0498c2e61a61ceafd9441e80d0405878" ns2:_="" ns3:_="" ns4:_="">
    <xsd:import namespace="97378d60-aaff-4d22-b97f-fdbd15e59237"/>
    <xsd:import namespace="587b5dcf-da25-4890-a28a-868e903f2c4e"/>
    <xsd:import namespace="523d1d71-b689-437b-b072-0d19175b2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78d60-aaff-4d22-b97f-fdbd15e592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7035e2d-707a-484b-8abf-0bd592a152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b5dcf-da25-4890-a28a-868e903f2c4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d1d71-b689-437b-b072-0d19175b2be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f4fb36d3-848a-4831-8a20-5e5bef6e3327}" ma:internalName="TaxCatchAll" ma:showField="CatchAllData" ma:web="523d1d71-b689-437b-b072-0d19175b2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3d1d71-b689-437b-b072-0d19175b2be9" xsi:nil="true"/>
    <lcf76f155ced4ddcb4097134ff3c332f xmlns="97378d60-aaff-4d22-b97f-fdbd15e592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B2D6B8-A1A6-4858-91C9-816EF7FE4A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78d60-aaff-4d22-b97f-fdbd15e59237"/>
    <ds:schemaRef ds:uri="587b5dcf-da25-4890-a28a-868e903f2c4e"/>
    <ds:schemaRef ds:uri="523d1d71-b689-437b-b072-0d19175b2b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59E505-1725-4763-B189-61F1BB070B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8BE2DE-03BA-4401-855E-33BBAFCD60CF}">
  <ds:schemaRefs>
    <ds:schemaRef ds:uri="http://schemas.microsoft.com/office/2006/metadata/properties"/>
    <ds:schemaRef ds:uri="http://schemas.microsoft.com/office/infopath/2007/PartnerControls"/>
    <ds:schemaRef ds:uri="523d1d71-b689-437b-b072-0d19175b2be9"/>
    <ds:schemaRef ds:uri="97378d60-aaff-4d22-b97f-fdbd15e5923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VOLTA</dc:creator>
  <cp:lastModifiedBy>Keyte Ayala</cp:lastModifiedBy>
  <dcterms:created xsi:type="dcterms:W3CDTF">2015-06-05T18:19:34Z</dcterms:created>
  <dcterms:modified xsi:type="dcterms:W3CDTF">2025-12-04T15:38:02Z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0x0101002856CF9D9BE6334F8149E99CA6073124</vt:lpwstr>
  </property>
  <property fmtid="{D5CDD505-2E9C-101B-9397-08002B2CF9AE}" pid="3" name="MediaServiceImageTags">
    <vt:lpwstr/>
  </property>
</Properties>
</file>